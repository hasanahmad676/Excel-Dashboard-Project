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DCL\Downloads\Documents\"/>
    </mc:Choice>
  </mc:AlternateContent>
  <xr:revisionPtr revIDLastSave="0" documentId="8_{C34AD603-A98B-47D7-9266-7066666938B3}" xr6:coauthVersionLast="45" xr6:coauthVersionMax="45" xr10:uidLastSave="{00000000-0000-0000-0000-000000000000}"/>
  <bookViews>
    <workbookView xWindow="-120" yWindow="-120" windowWidth="20730" windowHeight="11160" activeTab="3" xr2:uid="{00000000-000D-0000-FFFF-FFFF00000000}"/>
  </bookViews>
  <sheets>
    <sheet name="bike_buyers" sheetId="1" r:id="rId1"/>
    <sheet name="Pivot Table" sheetId="2" r:id="rId2"/>
    <sheet name="working sheet" sheetId="4" r:id="rId3"/>
    <sheet name="DashBoard" sheetId="3" r:id="rId4"/>
  </sheets>
  <definedNames>
    <definedName name="_xlnm._FilterDatabase" localSheetId="0" hidden="1">bike_buyers!$A$1:$M$1001</definedName>
    <definedName name="_xlnm._FilterDatabase" localSheetId="2" hidden="1">'working sheet'!$A$1:$N$1027</definedName>
    <definedName name="Slicer_Education">#N/A</definedName>
    <definedName name="Slicer_Marriedarital_Singletatus">#N/A</definedName>
    <definedName name="Slicer_Occupation">#N/A</definedName>
    <definedName name="Slicer_Region">#N/A</definedName>
  </definedNames>
  <calcPr calcId="181029"/>
  <pivotCaches>
    <pivotCache cacheId="1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1022" i="4" l="1"/>
  <c r="M1023" i="4"/>
  <c r="M1024" i="4"/>
  <c r="M1025" i="4"/>
  <c r="M1026" i="4"/>
  <c r="M1027"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2" i="4"/>
</calcChain>
</file>

<file path=xl/sharedStrings.xml><?xml version="1.0" encoding="utf-8"?>
<sst xmlns="http://schemas.openxmlformats.org/spreadsheetml/2006/main" count="16477" uniqueCount="51">
  <si>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</si>
  <si>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</si>
  <si>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</si>
  <si>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</si>
  <si>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</si>
  <si>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</si>
  <si>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</si>
  <si>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</si>
  <si>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</si>
  <si>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</si>
  <si>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</si>
  <si>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</si>
  <si>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</si>
  <si>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</si>
  <si>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</si>
  <si>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</si>
  <si>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</si>
  <si>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</si>
  <si>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</si>
  <si>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</si>
  <si>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</si>
  <si>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</si>
  <si>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</si>
  <si>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</si>
  <si>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</si>
  <si>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</si>
  <si>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</si>
  <si>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</si>
  <si>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</si>
  <si>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</si>
  <si>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</si>
  <si>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</si>
  <si>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</si>
  <si>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</si>
  <si>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</si>
  <si>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</si>
  <si>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</si>
  <si>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</si>
  <si>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</si>
  <si>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Female</t>
  </si>
  <si>
    <t>Male</t>
  </si>
  <si>
    <t>Age Barrier</t>
  </si>
  <si>
    <t>Row Labels</t>
  </si>
  <si>
    <t>Grand Total</t>
  </si>
  <si>
    <t>Average of Income</t>
  </si>
  <si>
    <t>Column Labels</t>
  </si>
  <si>
    <t>Count of Purchased Bike</t>
  </si>
  <si>
    <t>middle age</t>
  </si>
  <si>
    <t>old</t>
  </si>
  <si>
    <t>young</t>
  </si>
  <si>
    <t>Bike Sell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</si>
</sst>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Avrg</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Table'!$A$6:$A$8</c:f>
              <c:strCache>
                <c:ptCount val="2"/>
                <c:pt idx="0">
                  <c:v>Female</c:v>
                </c:pt>
                <c:pt idx="1">
                  <c:v>Male</c:v>
                </c:pt>
              </c:strCache>
            </c:strRef>
          </c:cat>
          <c:val>
            <c:numRef>
              <c:f>'Pivot Table'!$B$6:$B$8</c:f>
              <c:numCache>
                <c:formatCode>"$"#,##0</c:formatCode>
                <c:ptCount val="2"/>
                <c:pt idx="0">
                  <c:v>23333.333333333332</c:v>
                </c:pt>
                <c:pt idx="1">
                  <c:v>23333.333333333332</c:v>
                </c:pt>
              </c:numCache>
            </c:numRef>
          </c:val>
          <c:extLst>
            <c:ext xmlns:c16="http://schemas.microsoft.com/office/drawing/2014/chart" uri="{C3380CC4-5D6E-409C-BE32-E72D297353CC}">
              <c16:uniqueId val="{00000000-3A3C-4FA4-B39F-675690B34660}"/>
            </c:ext>
          </c:extLst>
        </c:ser>
        <c:dLbls>
          <c:showLegendKey val="0"/>
          <c:showVal val="0"/>
          <c:showCatName val="0"/>
          <c:showSerName val="0"/>
          <c:showPercent val="0"/>
          <c:showBubbleSize val="0"/>
        </c:dLbls>
        <c:gapWidth val="150"/>
        <c:shape val="box"/>
        <c:axId val="1384887919"/>
        <c:axId val="945015919"/>
        <c:axId val="0"/>
      </c:bar3DChart>
      <c:catAx>
        <c:axId val="1384887919"/>
        <c:scaling>
          <c:orientation val="minMax"/>
        </c:scaling>
        <c:delete val="0"/>
        <c:axPos val="b"/>
        <c:minorGridlines>
          <c:spPr>
            <a:ln>
              <a:solidFill>
                <a:schemeClr val="dk1">
                  <a:lumMod val="60000"/>
                  <a:lumOff val="40000"/>
                </a:schemeClr>
              </a:solidFill>
            </a:ln>
            <a:effectLst/>
          </c:spPr>
        </c:min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015919"/>
        <c:crosses val="autoZero"/>
        <c:auto val="1"/>
        <c:lblAlgn val="ctr"/>
        <c:lblOffset val="100"/>
        <c:noMultiLvlLbl val="0"/>
      </c:catAx>
      <c:valAx>
        <c:axId val="945015919"/>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8879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communication</a:t>
            </a:r>
            <a:r>
              <a:rPr lang="en-US" baseline="0"/>
              <a:t> Distance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Table'!$A$26:$A$28</c:f>
              <c:strCache>
                <c:ptCount val="2"/>
                <c:pt idx="0">
                  <c:v>0-1 Miles</c:v>
                </c:pt>
                <c:pt idx="1">
                  <c:v>1-2 Miles</c:v>
                </c:pt>
              </c:strCache>
            </c:strRef>
          </c:cat>
          <c:val>
            <c:numRef>
              <c:f>'Pivot Table'!$B$26:$B$28</c:f>
              <c:numCache>
                <c:formatCode>General</c:formatCode>
                <c:ptCount val="2"/>
                <c:pt idx="0">
                  <c:v>5</c:v>
                </c:pt>
                <c:pt idx="1">
                  <c:v>1</c:v>
                </c:pt>
              </c:numCache>
            </c:numRef>
          </c:val>
          <c:smooth val="0"/>
          <c:extLst>
            <c:ext xmlns:c16="http://schemas.microsoft.com/office/drawing/2014/chart" uri="{C3380CC4-5D6E-409C-BE32-E72D297353CC}">
              <c16:uniqueId val="{00000000-09AE-4AF3-BA31-4CA0CE931723}"/>
            </c:ext>
          </c:extLst>
        </c:ser>
        <c:dLbls>
          <c:showLegendKey val="0"/>
          <c:showVal val="0"/>
          <c:showCatName val="0"/>
          <c:showSerName val="0"/>
          <c:showPercent val="0"/>
          <c:showBubbleSize val="0"/>
        </c:dLbls>
        <c:marker val="1"/>
        <c:smooth val="0"/>
        <c:axId val="1387890159"/>
        <c:axId val="1290970479"/>
      </c:lineChart>
      <c:catAx>
        <c:axId val="1387890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970479"/>
        <c:crosses val="autoZero"/>
        <c:auto val="1"/>
        <c:lblAlgn val="ctr"/>
        <c:lblOffset val="100"/>
        <c:noMultiLvlLbl val="0"/>
      </c:catAx>
      <c:valAx>
        <c:axId val="1290970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890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a:t>
            </a:r>
            <a:r>
              <a:rPr lang="en-US" baseline="0"/>
              <a:t> Age Barrier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Table'!$B$43:$B$44</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Table'!$A$45:$A$48</c:f>
              <c:strCache>
                <c:ptCount val="3"/>
                <c:pt idx="0">
                  <c:v>middle age</c:v>
                </c:pt>
                <c:pt idx="1">
                  <c:v>old</c:v>
                </c:pt>
                <c:pt idx="2">
                  <c:v>young</c:v>
                </c:pt>
              </c:strCache>
            </c:strRef>
          </c:cat>
          <c:val>
            <c:numRef>
              <c:f>'Pivot Table'!$B$45:$B$48</c:f>
              <c:numCache>
                <c:formatCode>General</c:formatCode>
                <c:ptCount val="3"/>
                <c:pt idx="0">
                  <c:v>3</c:v>
                </c:pt>
                <c:pt idx="1">
                  <c:v>1</c:v>
                </c:pt>
                <c:pt idx="2">
                  <c:v>2</c:v>
                </c:pt>
              </c:numCache>
            </c:numRef>
          </c:val>
          <c:smooth val="0"/>
          <c:extLst>
            <c:ext xmlns:c16="http://schemas.microsoft.com/office/drawing/2014/chart" uri="{C3380CC4-5D6E-409C-BE32-E72D297353CC}">
              <c16:uniqueId val="{00000000-1249-4F41-B1B8-5D182D099F6C}"/>
            </c:ext>
          </c:extLst>
        </c:ser>
        <c:dLbls>
          <c:showLegendKey val="0"/>
          <c:showVal val="0"/>
          <c:showCatName val="0"/>
          <c:showSerName val="0"/>
          <c:showPercent val="0"/>
          <c:showBubbleSize val="0"/>
        </c:dLbls>
        <c:marker val="1"/>
        <c:smooth val="0"/>
        <c:axId val="1284261135"/>
        <c:axId val="1290967983"/>
      </c:lineChart>
      <c:catAx>
        <c:axId val="12842611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967983"/>
        <c:crosses val="autoZero"/>
        <c:auto val="1"/>
        <c:lblAlgn val="ctr"/>
        <c:lblOffset val="100"/>
        <c:noMultiLvlLbl val="0"/>
      </c:catAx>
      <c:valAx>
        <c:axId val="1290967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261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Home</a:t>
            </a:r>
            <a:r>
              <a:rPr lang="en-US" baseline="0"/>
              <a:t> owner per perchase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Table'!$B$59:$B$60</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Table'!$A$61:$A$63</c:f>
              <c:strCache>
                <c:ptCount val="2"/>
                <c:pt idx="0">
                  <c:v>Yes</c:v>
                </c:pt>
                <c:pt idx="1">
                  <c:v>No</c:v>
                </c:pt>
              </c:strCache>
            </c:strRef>
          </c:cat>
          <c:val>
            <c:numRef>
              <c:f>'Pivot Table'!$B$61:$B$63</c:f>
              <c:numCache>
                <c:formatCode>General</c:formatCode>
                <c:ptCount val="2"/>
                <c:pt idx="0">
                  <c:v>2</c:v>
                </c:pt>
                <c:pt idx="1">
                  <c:v>4</c:v>
                </c:pt>
              </c:numCache>
            </c:numRef>
          </c:val>
          <c:extLst>
            <c:ext xmlns:c16="http://schemas.microsoft.com/office/drawing/2014/chart" uri="{C3380CC4-5D6E-409C-BE32-E72D297353CC}">
              <c16:uniqueId val="{00000000-DDFF-44E4-AD65-EA140E481D11}"/>
            </c:ext>
          </c:extLst>
        </c:ser>
        <c:dLbls>
          <c:showLegendKey val="0"/>
          <c:showVal val="0"/>
          <c:showCatName val="0"/>
          <c:showSerName val="0"/>
          <c:showPercent val="0"/>
          <c:showBubbleSize val="0"/>
        </c:dLbls>
        <c:gapWidth val="150"/>
        <c:shape val="box"/>
        <c:axId val="1284846719"/>
        <c:axId val="1395461743"/>
        <c:axId val="0"/>
      </c:bar3DChart>
      <c:catAx>
        <c:axId val="128484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461743"/>
        <c:crosses val="autoZero"/>
        <c:auto val="1"/>
        <c:lblAlgn val="ctr"/>
        <c:lblOffset val="100"/>
        <c:noMultiLvlLbl val="0"/>
      </c:catAx>
      <c:valAx>
        <c:axId val="13954617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84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Avrg</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Table'!$A$6:$A$8</c:f>
              <c:strCache>
                <c:ptCount val="2"/>
                <c:pt idx="0">
                  <c:v>Female</c:v>
                </c:pt>
                <c:pt idx="1">
                  <c:v>Male</c:v>
                </c:pt>
              </c:strCache>
            </c:strRef>
          </c:cat>
          <c:val>
            <c:numRef>
              <c:f>'Pivot Table'!$B$6:$B$8</c:f>
              <c:numCache>
                <c:formatCode>"$"#,##0</c:formatCode>
                <c:ptCount val="2"/>
                <c:pt idx="0">
                  <c:v>23333.333333333332</c:v>
                </c:pt>
                <c:pt idx="1">
                  <c:v>23333.333333333332</c:v>
                </c:pt>
              </c:numCache>
            </c:numRef>
          </c:val>
          <c:extLst>
            <c:ext xmlns:c16="http://schemas.microsoft.com/office/drawing/2014/chart" uri="{C3380CC4-5D6E-409C-BE32-E72D297353CC}">
              <c16:uniqueId val="{00000000-DED6-4DF0-A7F0-16ED690D4498}"/>
            </c:ext>
          </c:extLst>
        </c:ser>
        <c:dLbls>
          <c:showLegendKey val="0"/>
          <c:showVal val="0"/>
          <c:showCatName val="0"/>
          <c:showSerName val="0"/>
          <c:showPercent val="0"/>
          <c:showBubbleSize val="0"/>
        </c:dLbls>
        <c:gapWidth val="150"/>
        <c:shape val="box"/>
        <c:axId val="1384887919"/>
        <c:axId val="945015919"/>
        <c:axId val="0"/>
      </c:bar3DChart>
      <c:catAx>
        <c:axId val="1384887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015919"/>
        <c:crosses val="autoZero"/>
        <c:auto val="1"/>
        <c:lblAlgn val="ctr"/>
        <c:lblOffset val="100"/>
        <c:noMultiLvlLbl val="0"/>
      </c:catAx>
      <c:valAx>
        <c:axId val="945015919"/>
        <c:scaling>
          <c:orientation val="minMax"/>
        </c:scaling>
        <c:delete val="0"/>
        <c:axPos val="l"/>
        <c:majorGridlines>
          <c:spPr>
            <a:ln w="9525" cap="flat" cmpd="sng" algn="ctr">
              <a:solidFill>
                <a:schemeClr val="dk1">
                  <a:lumMod val="50000"/>
                  <a:lumOff val="50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8879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a:t>
            </a:r>
            <a:r>
              <a:rPr lang="en-US" baseline="0"/>
              <a:t> Age Barrier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Table'!$B$43:$B$44</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Table'!$A$45:$A$48</c:f>
              <c:strCache>
                <c:ptCount val="3"/>
                <c:pt idx="0">
                  <c:v>middle age</c:v>
                </c:pt>
                <c:pt idx="1">
                  <c:v>old</c:v>
                </c:pt>
                <c:pt idx="2">
                  <c:v>young</c:v>
                </c:pt>
              </c:strCache>
            </c:strRef>
          </c:cat>
          <c:val>
            <c:numRef>
              <c:f>'Pivot Table'!$B$45:$B$48</c:f>
              <c:numCache>
                <c:formatCode>General</c:formatCode>
                <c:ptCount val="3"/>
                <c:pt idx="0">
                  <c:v>3</c:v>
                </c:pt>
                <c:pt idx="1">
                  <c:v>1</c:v>
                </c:pt>
                <c:pt idx="2">
                  <c:v>2</c:v>
                </c:pt>
              </c:numCache>
            </c:numRef>
          </c:val>
          <c:smooth val="0"/>
          <c:extLst>
            <c:ext xmlns:c16="http://schemas.microsoft.com/office/drawing/2014/chart" uri="{C3380CC4-5D6E-409C-BE32-E72D297353CC}">
              <c16:uniqueId val="{00000000-2FC6-4344-8471-6A00E7D8A265}"/>
            </c:ext>
          </c:extLst>
        </c:ser>
        <c:dLbls>
          <c:showLegendKey val="0"/>
          <c:showVal val="0"/>
          <c:showCatName val="0"/>
          <c:showSerName val="0"/>
          <c:showPercent val="0"/>
          <c:showBubbleSize val="0"/>
        </c:dLbls>
        <c:marker val="1"/>
        <c:smooth val="0"/>
        <c:axId val="1284261135"/>
        <c:axId val="1290967983"/>
      </c:lineChart>
      <c:catAx>
        <c:axId val="12842611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967983"/>
        <c:crosses val="autoZero"/>
        <c:auto val="1"/>
        <c:lblAlgn val="ctr"/>
        <c:lblOffset val="100"/>
        <c:noMultiLvlLbl val="0"/>
      </c:catAx>
      <c:valAx>
        <c:axId val="1290967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2611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communication</a:t>
            </a:r>
            <a:r>
              <a:rPr lang="en-US" baseline="0"/>
              <a:t> Distance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Table'!$A$26:$A$28</c:f>
              <c:strCache>
                <c:ptCount val="2"/>
                <c:pt idx="0">
                  <c:v>0-1 Miles</c:v>
                </c:pt>
                <c:pt idx="1">
                  <c:v>1-2 Miles</c:v>
                </c:pt>
              </c:strCache>
            </c:strRef>
          </c:cat>
          <c:val>
            <c:numRef>
              <c:f>'Pivot Table'!$B$26:$B$28</c:f>
              <c:numCache>
                <c:formatCode>General</c:formatCode>
                <c:ptCount val="2"/>
                <c:pt idx="0">
                  <c:v>5</c:v>
                </c:pt>
                <c:pt idx="1">
                  <c:v>1</c:v>
                </c:pt>
              </c:numCache>
            </c:numRef>
          </c:val>
          <c:smooth val="0"/>
          <c:extLst>
            <c:ext xmlns:c16="http://schemas.microsoft.com/office/drawing/2014/chart" uri="{C3380CC4-5D6E-409C-BE32-E72D297353CC}">
              <c16:uniqueId val="{00000000-EA9C-4D48-9BA7-E2A39E665518}"/>
            </c:ext>
          </c:extLst>
        </c:ser>
        <c:dLbls>
          <c:showLegendKey val="0"/>
          <c:showVal val="0"/>
          <c:showCatName val="0"/>
          <c:showSerName val="0"/>
          <c:showPercent val="0"/>
          <c:showBubbleSize val="0"/>
        </c:dLbls>
        <c:marker val="1"/>
        <c:smooth val="0"/>
        <c:axId val="1387890159"/>
        <c:axId val="1290970479"/>
      </c:lineChart>
      <c:catAx>
        <c:axId val="1387890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970479"/>
        <c:crosses val="autoZero"/>
        <c:auto val="1"/>
        <c:lblAlgn val="ctr"/>
        <c:lblOffset val="100"/>
        <c:noMultiLvlLbl val="0"/>
      </c:catAx>
      <c:valAx>
        <c:axId val="1290970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89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Sells Dashboard Project.xlsx]Pivot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Home</a:t>
            </a:r>
            <a:r>
              <a:rPr lang="en-US" baseline="0"/>
              <a:t> owner per perchase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Table'!$B$59:$B$60</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Table'!$A$61:$A$63</c:f>
              <c:strCache>
                <c:ptCount val="2"/>
                <c:pt idx="0">
                  <c:v>Yes</c:v>
                </c:pt>
                <c:pt idx="1">
                  <c:v>No</c:v>
                </c:pt>
              </c:strCache>
            </c:strRef>
          </c:cat>
          <c:val>
            <c:numRef>
              <c:f>'Pivot Table'!$B$61:$B$63</c:f>
              <c:numCache>
                <c:formatCode>General</c:formatCode>
                <c:ptCount val="2"/>
                <c:pt idx="0">
                  <c:v>2</c:v>
                </c:pt>
                <c:pt idx="1">
                  <c:v>4</c:v>
                </c:pt>
              </c:numCache>
            </c:numRef>
          </c:val>
          <c:extLst>
            <c:ext xmlns:c16="http://schemas.microsoft.com/office/drawing/2014/chart" uri="{C3380CC4-5D6E-409C-BE32-E72D297353CC}">
              <c16:uniqueId val="{00000000-D58F-4578-8D21-FE5B55A735EA}"/>
            </c:ext>
          </c:extLst>
        </c:ser>
        <c:dLbls>
          <c:showLegendKey val="0"/>
          <c:showVal val="0"/>
          <c:showCatName val="0"/>
          <c:showSerName val="0"/>
          <c:showPercent val="0"/>
          <c:showBubbleSize val="0"/>
        </c:dLbls>
        <c:gapWidth val="150"/>
        <c:shape val="box"/>
        <c:axId val="1284846719"/>
        <c:axId val="1395461743"/>
        <c:axId val="0"/>
      </c:bar3DChart>
      <c:catAx>
        <c:axId val="128484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461743"/>
        <c:crosses val="autoZero"/>
        <c:auto val="1"/>
        <c:lblAlgn val="ctr"/>
        <c:lblOffset val="100"/>
        <c:noMultiLvlLbl val="0"/>
      </c:catAx>
      <c:valAx>
        <c:axId val="13954617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84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223837</xdr:colOff>
      <xdr:row>2</xdr:row>
      <xdr:rowOff>23811</xdr:rowOff>
    </xdr:from>
    <xdr:to>
      <xdr:col>11</xdr:col>
      <xdr:colOff>542925</xdr:colOff>
      <xdr:row>15</xdr:row>
      <xdr:rowOff>104774</xdr:rowOff>
    </xdr:to>
    <xdr:graphicFrame macro="">
      <xdr:nvGraphicFramePr>
        <xdr:cNvPr id="3" name="Chart 2">
          <a:extLst>
            <a:ext uri="{FF2B5EF4-FFF2-40B4-BE49-F238E27FC236}">
              <a16:creationId xmlns:a16="http://schemas.microsoft.com/office/drawing/2014/main" id="{6CE25186-D872-4F0F-95CB-0B90B1BE3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22</xdr:row>
      <xdr:rowOff>80962</xdr:rowOff>
    </xdr:from>
    <xdr:to>
      <xdr:col>10</xdr:col>
      <xdr:colOff>590550</xdr:colOff>
      <xdr:row>36</xdr:row>
      <xdr:rowOff>157162</xdr:rowOff>
    </xdr:to>
    <xdr:graphicFrame macro="">
      <xdr:nvGraphicFramePr>
        <xdr:cNvPr id="4" name="Chart 3">
          <a:extLst>
            <a:ext uri="{FF2B5EF4-FFF2-40B4-BE49-F238E27FC236}">
              <a16:creationId xmlns:a16="http://schemas.microsoft.com/office/drawing/2014/main" id="{20655CB2-A26D-4937-8E31-BB6B09803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xdr:colOff>
      <xdr:row>41</xdr:row>
      <xdr:rowOff>61912</xdr:rowOff>
    </xdr:from>
    <xdr:to>
      <xdr:col>10</xdr:col>
      <xdr:colOff>552450</xdr:colOff>
      <xdr:row>53</xdr:row>
      <xdr:rowOff>28575</xdr:rowOff>
    </xdr:to>
    <xdr:graphicFrame macro="">
      <xdr:nvGraphicFramePr>
        <xdr:cNvPr id="5" name="Chart 4">
          <a:extLst>
            <a:ext uri="{FF2B5EF4-FFF2-40B4-BE49-F238E27FC236}">
              <a16:creationId xmlns:a16="http://schemas.microsoft.com/office/drawing/2014/main" id="{E7C575E2-DD0A-4180-9BFD-C820C0FC6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323850</xdr:colOff>
      <xdr:row>54</xdr:row>
      <xdr:rowOff>100012</xdr:rowOff>
    </xdr:from>
    <xdr:to>
      <xdr:col>11</xdr:col>
      <xdr:colOff>142875</xdr:colOff>
      <xdr:row>67</xdr:row>
      <xdr:rowOff>0</xdr:rowOff>
    </xdr:to>
    <xdr:graphicFrame macro="">
      <xdr:nvGraphicFramePr>
        <xdr:cNvPr id="6" name="Chart 5">
          <a:extLst>
            <a:ext uri="{FF2B5EF4-FFF2-40B4-BE49-F238E27FC236}">
              <a16:creationId xmlns:a16="http://schemas.microsoft.com/office/drawing/2014/main" id="{FB1E11C3-7ED4-40A6-9F4D-BAA237AE6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523875</xdr:colOff>
      <xdr:row>4</xdr:row>
      <xdr:rowOff>9526</xdr:rowOff>
    </xdr:from>
    <xdr:to>
      <xdr:col>8</xdr:col>
      <xdr:colOff>381000</xdr:colOff>
      <xdr:row>14</xdr:row>
      <xdr:rowOff>180975</xdr:rowOff>
    </xdr:to>
    <xdr:graphicFrame macro="">
      <xdr:nvGraphicFramePr>
        <xdr:cNvPr id="2" name="Chart 1">
          <a:extLst>
            <a:ext uri="{FF2B5EF4-FFF2-40B4-BE49-F238E27FC236}">
              <a16:creationId xmlns:a16="http://schemas.microsoft.com/office/drawing/2014/main" id="{EE1BF043-08E8-4888-BB75-5598A6F8F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4</xdr:row>
      <xdr:rowOff>1</xdr:rowOff>
    </xdr:from>
    <xdr:to>
      <xdr:col>14</xdr:col>
      <xdr:colOff>28575</xdr:colOff>
      <xdr:row>14</xdr:row>
      <xdr:rowOff>171451</xdr:rowOff>
    </xdr:to>
    <xdr:graphicFrame macro="">
      <xdr:nvGraphicFramePr>
        <xdr:cNvPr id="3" name="Chart 2">
          <a:extLst>
            <a:ext uri="{FF2B5EF4-FFF2-40B4-BE49-F238E27FC236}">
              <a16:creationId xmlns:a16="http://schemas.microsoft.com/office/drawing/2014/main" id="{3338852E-6BBC-44E2-BBED-970F5CAC6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523876</xdr:colOff>
      <xdr:row>14</xdr:row>
      <xdr:rowOff>171450</xdr:rowOff>
    </xdr:from>
    <xdr:to>
      <xdr:col>8</xdr:col>
      <xdr:colOff>447676</xdr:colOff>
      <xdr:row>26</xdr:row>
      <xdr:rowOff>19049</xdr:rowOff>
    </xdr:to>
    <xdr:graphicFrame macro="">
      <xdr:nvGraphicFramePr>
        <xdr:cNvPr id="4" name="Chart 3">
          <a:extLst>
            <a:ext uri="{FF2B5EF4-FFF2-40B4-BE49-F238E27FC236}">
              <a16:creationId xmlns:a16="http://schemas.microsoft.com/office/drawing/2014/main" id="{AFAB42CF-9A8B-4478-ABAD-7C197C65E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447675</xdr:colOff>
      <xdr:row>14</xdr:row>
      <xdr:rowOff>171450</xdr:rowOff>
    </xdr:from>
    <xdr:to>
      <xdr:col>14</xdr:col>
      <xdr:colOff>19050</xdr:colOff>
      <xdr:row>26</xdr:row>
      <xdr:rowOff>9525</xdr:rowOff>
    </xdr:to>
    <xdr:graphicFrame macro="">
      <xdr:nvGraphicFramePr>
        <xdr:cNvPr id="5" name="Chart 4">
          <a:extLst>
            <a:ext uri="{FF2B5EF4-FFF2-40B4-BE49-F238E27FC236}">
              <a16:creationId xmlns:a16="http://schemas.microsoft.com/office/drawing/2014/main" id="{805F557B-F14F-4FD7-86EA-54AAF2CEA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9526</xdr:rowOff>
    </xdr:from>
    <xdr:to>
      <xdr:col>2</xdr:col>
      <xdr:colOff>523875</xdr:colOff>
      <xdr:row>9</xdr:row>
      <xdr:rowOff>9526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4F524600-E3B9-4F6F-A657-625F82698B9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38226"/>
              <a:ext cx="174307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9526</xdr:rowOff>
    </xdr:from>
    <xdr:to>
      <xdr:col>2</xdr:col>
      <xdr:colOff>514350</xdr:colOff>
      <xdr:row>14</xdr:row>
      <xdr:rowOff>133350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EF33348-D9AE-4BFA-94BF-85B670B173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90726"/>
              <a:ext cx="1733550" cy="1076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123826</xdr:rowOff>
    </xdr:from>
    <xdr:to>
      <xdr:col>2</xdr:col>
      <xdr:colOff>533400</xdr:colOff>
      <xdr:row>21</xdr:row>
      <xdr:rowOff>123825</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0E2F54D6-094A-431C-A196-7E79991EAED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057526"/>
              <a:ext cx="175260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114301</xdr:rowOff>
    </xdr:from>
    <xdr:to>
      <xdr:col>2</xdr:col>
      <xdr:colOff>523875</xdr:colOff>
      <xdr:row>26</xdr:row>
      <xdr:rowOff>19051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CA9DDF6-AE28-480F-B532-FD008C7FD8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381501"/>
              <a:ext cx="1743075"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CL" refreshedDate="44999.830134490738" createdVersion="6" refreshedVersion="6" minRefreshableVersion="3" recordCount="1026" xr:uid="{3A08D0C6-99BF-42A9-8268-02FE5BC96CD5}">
  <cacheSource type="worksheet">
    <worksheetSource ref="A1:N1027" sheet="working sheet"/>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arrier"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217484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1"/>
    <x v="0"/>
  </r>
  <r>
    <n v="19280"/>
    <x v="0"/>
    <x v="1"/>
    <n v="120000"/>
    <n v="2"/>
    <x v="1"/>
    <x v="3"/>
    <x v="0"/>
    <n v="1"/>
    <x v="0"/>
    <x v="0"/>
    <n v="40"/>
    <x v="0"/>
    <x v="1"/>
  </r>
  <r>
    <n v="22173"/>
    <x v="0"/>
    <x v="0"/>
    <n v="30000"/>
    <n v="3"/>
    <x v="2"/>
    <x v="0"/>
    <x v="1"/>
    <n v="2"/>
    <x v="3"/>
    <x v="1"/>
    <n v="54"/>
    <x v="1"/>
    <x v="1"/>
  </r>
  <r>
    <n v="12697"/>
    <x v="1"/>
    <x v="0"/>
    <n v="90000"/>
    <n v="0"/>
    <x v="0"/>
    <x v="2"/>
    <x v="1"/>
    <n v="4"/>
    <x v="4"/>
    <x v="1"/>
    <n v="36"/>
    <x v="0"/>
    <x v="0"/>
  </r>
  <r>
    <n v="11434"/>
    <x v="0"/>
    <x v="1"/>
    <n v="170000"/>
    <n v="5"/>
    <x v="1"/>
    <x v="2"/>
    <x v="0"/>
    <n v="0"/>
    <x v="0"/>
    <x v="0"/>
    <n v="55"/>
    <x v="1"/>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1"/>
    <x v="1"/>
  </r>
  <r>
    <n v="12610"/>
    <x v="0"/>
    <x v="0"/>
    <n v="30000"/>
    <n v="1"/>
    <x v="0"/>
    <x v="1"/>
    <x v="0"/>
    <n v="0"/>
    <x v="0"/>
    <x v="0"/>
    <n v="47"/>
    <x v="0"/>
    <x v="0"/>
  </r>
  <r>
    <n v="27183"/>
    <x v="1"/>
    <x v="1"/>
    <n v="40000"/>
    <n v="2"/>
    <x v="1"/>
    <x v="1"/>
    <x v="0"/>
    <n v="1"/>
    <x v="3"/>
    <x v="0"/>
    <n v="35"/>
    <x v="0"/>
    <x v="1"/>
  </r>
  <r>
    <n v="25940"/>
    <x v="1"/>
    <x v="1"/>
    <n v="20000"/>
    <n v="2"/>
    <x v="3"/>
    <x v="1"/>
    <x v="0"/>
    <n v="2"/>
    <x v="2"/>
    <x v="1"/>
    <n v="55"/>
    <x v="1"/>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1"/>
    <x v="0"/>
  </r>
  <r>
    <n v="27184"/>
    <x v="1"/>
    <x v="1"/>
    <n v="40000"/>
    <n v="2"/>
    <x v="1"/>
    <x v="1"/>
    <x v="1"/>
    <n v="1"/>
    <x v="0"/>
    <x v="0"/>
    <n v="34"/>
    <x v="0"/>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2"/>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2"/>
    <x v="0"/>
  </r>
  <r>
    <n v="26863"/>
    <x v="1"/>
    <x v="1"/>
    <n v="20000"/>
    <n v="0"/>
    <x v="2"/>
    <x v="3"/>
    <x v="1"/>
    <n v="1"/>
    <x v="1"/>
    <x v="0"/>
    <n v="28"/>
    <x v="2"/>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1"/>
    <x v="1"/>
  </r>
  <r>
    <n v="19487"/>
    <x v="0"/>
    <x v="1"/>
    <n v="30000"/>
    <n v="2"/>
    <x v="1"/>
    <x v="1"/>
    <x v="1"/>
    <n v="2"/>
    <x v="0"/>
    <x v="0"/>
    <n v="42"/>
    <x v="0"/>
    <x v="0"/>
  </r>
  <r>
    <n v="14939"/>
    <x v="1"/>
    <x v="1"/>
    <n v="40000"/>
    <n v="0"/>
    <x v="0"/>
    <x v="1"/>
    <x v="0"/>
    <n v="0"/>
    <x v="0"/>
    <x v="0"/>
    <n v="39"/>
    <x v="0"/>
    <x v="1"/>
  </r>
  <r>
    <n v="13826"/>
    <x v="1"/>
    <x v="0"/>
    <n v="30000"/>
    <n v="0"/>
    <x v="1"/>
    <x v="1"/>
    <x v="1"/>
    <n v="1"/>
    <x v="0"/>
    <x v="0"/>
    <n v="28"/>
    <x v="2"/>
    <x v="0"/>
  </r>
  <r>
    <n v="20619"/>
    <x v="1"/>
    <x v="1"/>
    <n v="80000"/>
    <n v="0"/>
    <x v="0"/>
    <x v="2"/>
    <x v="1"/>
    <n v="4"/>
    <x v="4"/>
    <x v="1"/>
    <n v="35"/>
    <x v="0"/>
    <x v="0"/>
  </r>
  <r>
    <n v="12558"/>
    <x v="0"/>
    <x v="0"/>
    <n v="20000"/>
    <n v="1"/>
    <x v="0"/>
    <x v="1"/>
    <x v="0"/>
    <n v="0"/>
    <x v="0"/>
    <x v="0"/>
    <n v="65"/>
    <x v="1"/>
    <x v="0"/>
  </r>
  <r>
    <n v="24871"/>
    <x v="1"/>
    <x v="0"/>
    <n v="90000"/>
    <n v="4"/>
    <x v="2"/>
    <x v="4"/>
    <x v="1"/>
    <n v="3"/>
    <x v="2"/>
    <x v="0"/>
    <n v="56"/>
    <x v="1"/>
    <x v="0"/>
  </r>
  <r>
    <n v="17319"/>
    <x v="1"/>
    <x v="0"/>
    <n v="70000"/>
    <n v="0"/>
    <x v="0"/>
    <x v="2"/>
    <x v="1"/>
    <n v="1"/>
    <x v="2"/>
    <x v="1"/>
    <n v="42"/>
    <x v="0"/>
    <x v="0"/>
  </r>
  <r>
    <n v="28906"/>
    <x v="0"/>
    <x v="1"/>
    <n v="80000"/>
    <n v="4"/>
    <x v="2"/>
    <x v="2"/>
    <x v="0"/>
    <n v="2"/>
    <x v="4"/>
    <x v="0"/>
    <n v="54"/>
    <x v="1"/>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1"/>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2"/>
    <x v="0"/>
  </r>
  <r>
    <n v="14238"/>
    <x v="0"/>
    <x v="1"/>
    <n v="120000"/>
    <n v="0"/>
    <x v="3"/>
    <x v="2"/>
    <x v="0"/>
    <n v="4"/>
    <x v="4"/>
    <x v="1"/>
    <n v="36"/>
    <x v="0"/>
    <x v="1"/>
  </r>
  <r>
    <n v="16200"/>
    <x v="1"/>
    <x v="0"/>
    <n v="10000"/>
    <n v="0"/>
    <x v="3"/>
    <x v="3"/>
    <x v="1"/>
    <n v="2"/>
    <x v="0"/>
    <x v="0"/>
    <n v="35"/>
    <x v="0"/>
    <x v="0"/>
  </r>
  <r>
    <n v="24857"/>
    <x v="0"/>
    <x v="0"/>
    <n v="130000"/>
    <n v="3"/>
    <x v="2"/>
    <x v="2"/>
    <x v="0"/>
    <n v="4"/>
    <x v="0"/>
    <x v="0"/>
    <n v="52"/>
    <x v="1"/>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2"/>
    <x v="0"/>
  </r>
  <r>
    <n v="27969"/>
    <x v="0"/>
    <x v="1"/>
    <n v="80000"/>
    <n v="0"/>
    <x v="0"/>
    <x v="2"/>
    <x v="0"/>
    <n v="2"/>
    <x v="4"/>
    <x v="1"/>
    <n v="29"/>
    <x v="2"/>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2"/>
    <x v="0"/>
  </r>
  <r>
    <n v="24485"/>
    <x v="1"/>
    <x v="1"/>
    <n v="40000"/>
    <n v="2"/>
    <x v="0"/>
    <x v="4"/>
    <x v="1"/>
    <n v="1"/>
    <x v="2"/>
    <x v="1"/>
    <n v="52"/>
    <x v="1"/>
    <x v="1"/>
  </r>
  <r>
    <n v="16514"/>
    <x v="1"/>
    <x v="1"/>
    <n v="10000"/>
    <n v="0"/>
    <x v="1"/>
    <x v="3"/>
    <x v="0"/>
    <n v="1"/>
    <x v="3"/>
    <x v="1"/>
    <n v="26"/>
    <x v="2"/>
    <x v="1"/>
  </r>
  <r>
    <n v="17191"/>
    <x v="1"/>
    <x v="1"/>
    <n v="130000"/>
    <n v="3"/>
    <x v="1"/>
    <x v="2"/>
    <x v="1"/>
    <n v="3"/>
    <x v="0"/>
    <x v="0"/>
    <n v="51"/>
    <x v="1"/>
    <x v="1"/>
  </r>
  <r>
    <n v="19608"/>
    <x v="0"/>
    <x v="1"/>
    <n v="80000"/>
    <n v="5"/>
    <x v="0"/>
    <x v="2"/>
    <x v="0"/>
    <n v="4"/>
    <x v="3"/>
    <x v="1"/>
    <n v="40"/>
    <x v="0"/>
    <x v="0"/>
  </r>
  <r>
    <n v="24119"/>
    <x v="1"/>
    <x v="1"/>
    <n v="30000"/>
    <n v="0"/>
    <x v="1"/>
    <x v="1"/>
    <x v="1"/>
    <n v="1"/>
    <x v="1"/>
    <x v="0"/>
    <n v="29"/>
    <x v="2"/>
    <x v="0"/>
  </r>
  <r>
    <n v="25458"/>
    <x v="0"/>
    <x v="1"/>
    <n v="20000"/>
    <n v="1"/>
    <x v="2"/>
    <x v="3"/>
    <x v="1"/>
    <n v="1"/>
    <x v="3"/>
    <x v="0"/>
    <n v="40"/>
    <x v="0"/>
    <x v="1"/>
  </r>
  <r>
    <n v="26886"/>
    <x v="1"/>
    <x v="0"/>
    <n v="30000"/>
    <n v="0"/>
    <x v="1"/>
    <x v="1"/>
    <x v="1"/>
    <n v="1"/>
    <x v="0"/>
    <x v="0"/>
    <n v="29"/>
    <x v="2"/>
    <x v="1"/>
  </r>
  <r>
    <n v="28436"/>
    <x v="1"/>
    <x v="1"/>
    <n v="30000"/>
    <n v="0"/>
    <x v="1"/>
    <x v="1"/>
    <x v="1"/>
    <n v="1"/>
    <x v="0"/>
    <x v="0"/>
    <n v="30"/>
    <x v="2"/>
    <x v="1"/>
  </r>
  <r>
    <n v="19562"/>
    <x v="1"/>
    <x v="0"/>
    <n v="60000"/>
    <n v="2"/>
    <x v="0"/>
    <x v="2"/>
    <x v="0"/>
    <n v="1"/>
    <x v="1"/>
    <x v="1"/>
    <n v="37"/>
    <x v="0"/>
    <x v="1"/>
  </r>
  <r>
    <n v="15608"/>
    <x v="1"/>
    <x v="0"/>
    <n v="30000"/>
    <n v="0"/>
    <x v="1"/>
    <x v="1"/>
    <x v="1"/>
    <n v="1"/>
    <x v="1"/>
    <x v="0"/>
    <n v="33"/>
    <x v="0"/>
    <x v="0"/>
  </r>
  <r>
    <n v="16487"/>
    <x v="1"/>
    <x v="0"/>
    <n v="30000"/>
    <n v="3"/>
    <x v="2"/>
    <x v="0"/>
    <x v="0"/>
    <n v="2"/>
    <x v="2"/>
    <x v="1"/>
    <n v="55"/>
    <x v="1"/>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2"/>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2"/>
    <x v="0"/>
  </r>
  <r>
    <n v="20430"/>
    <x v="0"/>
    <x v="1"/>
    <n v="70000"/>
    <n v="2"/>
    <x v="1"/>
    <x v="0"/>
    <x v="0"/>
    <n v="2"/>
    <x v="2"/>
    <x v="1"/>
    <n v="52"/>
    <x v="1"/>
    <x v="1"/>
  </r>
  <r>
    <n v="27494"/>
    <x v="1"/>
    <x v="0"/>
    <n v="40000"/>
    <n v="2"/>
    <x v="1"/>
    <x v="0"/>
    <x v="1"/>
    <n v="2"/>
    <x v="3"/>
    <x v="1"/>
    <n v="53"/>
    <x v="1"/>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2"/>
    <x v="1"/>
  </r>
  <r>
    <n v="24140"/>
    <x v="1"/>
    <x v="1"/>
    <n v="10000"/>
    <n v="0"/>
    <x v="4"/>
    <x v="3"/>
    <x v="1"/>
    <n v="0"/>
    <x v="0"/>
    <x v="0"/>
    <n v="30"/>
    <x v="2"/>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2"/>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1"/>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1"/>
    <x v="1"/>
  </r>
  <r>
    <n v="26818"/>
    <x v="1"/>
    <x v="1"/>
    <n v="10000"/>
    <n v="3"/>
    <x v="2"/>
    <x v="3"/>
    <x v="0"/>
    <n v="1"/>
    <x v="0"/>
    <x v="0"/>
    <n v="39"/>
    <x v="0"/>
    <x v="1"/>
  </r>
  <r>
    <n v="12993"/>
    <x v="0"/>
    <x v="1"/>
    <n v="60000"/>
    <n v="2"/>
    <x v="0"/>
    <x v="2"/>
    <x v="0"/>
    <n v="1"/>
    <x v="1"/>
    <x v="1"/>
    <n v="37"/>
    <x v="0"/>
    <x v="0"/>
  </r>
  <r>
    <n v="14192"/>
    <x v="0"/>
    <x v="1"/>
    <n v="90000"/>
    <n v="4"/>
    <x v="2"/>
    <x v="4"/>
    <x v="0"/>
    <n v="3"/>
    <x v="2"/>
    <x v="0"/>
    <n v="56"/>
    <x v="1"/>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1"/>
    <x v="0"/>
  </r>
  <r>
    <n v="28683"/>
    <x v="1"/>
    <x v="0"/>
    <n v="10000"/>
    <n v="1"/>
    <x v="2"/>
    <x v="3"/>
    <x v="1"/>
    <n v="1"/>
    <x v="2"/>
    <x v="0"/>
    <n v="35"/>
    <x v="0"/>
    <x v="1"/>
  </r>
  <r>
    <n v="17994"/>
    <x v="1"/>
    <x v="1"/>
    <n v="20000"/>
    <n v="2"/>
    <x v="2"/>
    <x v="3"/>
    <x v="0"/>
    <n v="2"/>
    <x v="0"/>
    <x v="0"/>
    <n v="42"/>
    <x v="0"/>
    <x v="0"/>
  </r>
  <r>
    <n v="24273"/>
    <x v="0"/>
    <x v="0"/>
    <n v="20000"/>
    <n v="2"/>
    <x v="3"/>
    <x v="1"/>
    <x v="0"/>
    <n v="2"/>
    <x v="2"/>
    <x v="1"/>
    <n v="55"/>
    <x v="1"/>
    <x v="1"/>
  </r>
  <r>
    <n v="26547"/>
    <x v="1"/>
    <x v="0"/>
    <n v="30000"/>
    <n v="2"/>
    <x v="1"/>
    <x v="1"/>
    <x v="1"/>
    <n v="2"/>
    <x v="2"/>
    <x v="1"/>
    <n v="60"/>
    <x v="1"/>
    <x v="1"/>
  </r>
  <r>
    <n v="22500"/>
    <x v="1"/>
    <x v="1"/>
    <n v="40000"/>
    <n v="0"/>
    <x v="0"/>
    <x v="2"/>
    <x v="1"/>
    <n v="0"/>
    <x v="0"/>
    <x v="0"/>
    <n v="40"/>
    <x v="0"/>
    <x v="1"/>
  </r>
  <r>
    <n v="23993"/>
    <x v="1"/>
    <x v="0"/>
    <n v="10000"/>
    <n v="0"/>
    <x v="1"/>
    <x v="3"/>
    <x v="1"/>
    <n v="1"/>
    <x v="0"/>
    <x v="1"/>
    <n v="26"/>
    <x v="2"/>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2"/>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1"/>
    <x v="0"/>
  </r>
  <r>
    <n v="23979"/>
    <x v="1"/>
    <x v="1"/>
    <n v="10000"/>
    <n v="2"/>
    <x v="1"/>
    <x v="3"/>
    <x v="1"/>
    <n v="0"/>
    <x v="0"/>
    <x v="0"/>
    <n v="50"/>
    <x v="0"/>
    <x v="0"/>
  </r>
  <r>
    <n v="25605"/>
    <x v="1"/>
    <x v="0"/>
    <n v="20000"/>
    <n v="2"/>
    <x v="1"/>
    <x v="3"/>
    <x v="1"/>
    <n v="1"/>
    <x v="0"/>
    <x v="0"/>
    <n v="54"/>
    <x v="1"/>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1"/>
    <x v="0"/>
  </r>
  <r>
    <n v="22402"/>
    <x v="0"/>
    <x v="1"/>
    <n v="10000"/>
    <n v="0"/>
    <x v="1"/>
    <x v="3"/>
    <x v="0"/>
    <n v="1"/>
    <x v="1"/>
    <x v="1"/>
    <n v="25"/>
    <x v="2"/>
    <x v="1"/>
  </r>
  <r>
    <n v="15465"/>
    <x v="0"/>
    <x v="0"/>
    <n v="10000"/>
    <n v="0"/>
    <x v="1"/>
    <x v="3"/>
    <x v="1"/>
    <n v="1"/>
    <x v="0"/>
    <x v="1"/>
    <n v="25"/>
    <x v="2"/>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2"/>
    <x v="0"/>
  </r>
  <r>
    <n v="19442"/>
    <x v="1"/>
    <x v="1"/>
    <n v="50000"/>
    <n v="0"/>
    <x v="4"/>
    <x v="0"/>
    <x v="0"/>
    <n v="0"/>
    <x v="0"/>
    <x v="0"/>
    <n v="37"/>
    <x v="0"/>
    <x v="1"/>
  </r>
  <r>
    <n v="17504"/>
    <x v="1"/>
    <x v="0"/>
    <n v="80000"/>
    <n v="2"/>
    <x v="1"/>
    <x v="0"/>
    <x v="0"/>
    <n v="2"/>
    <x v="2"/>
    <x v="1"/>
    <n v="52"/>
    <x v="1"/>
    <x v="1"/>
  </r>
  <r>
    <n v="12253"/>
    <x v="1"/>
    <x v="0"/>
    <n v="20000"/>
    <n v="0"/>
    <x v="1"/>
    <x v="3"/>
    <x v="0"/>
    <n v="0"/>
    <x v="0"/>
    <x v="1"/>
    <n v="29"/>
    <x v="2"/>
    <x v="1"/>
  </r>
  <r>
    <n v="27304"/>
    <x v="1"/>
    <x v="0"/>
    <n v="110000"/>
    <n v="2"/>
    <x v="1"/>
    <x v="2"/>
    <x v="1"/>
    <n v="3"/>
    <x v="2"/>
    <x v="0"/>
    <n v="48"/>
    <x v="0"/>
    <x v="0"/>
  </r>
  <r>
    <n v="14191"/>
    <x v="0"/>
    <x v="1"/>
    <n v="160000"/>
    <n v="4"/>
    <x v="1"/>
    <x v="2"/>
    <x v="1"/>
    <n v="2"/>
    <x v="4"/>
    <x v="0"/>
    <n v="55"/>
    <x v="1"/>
    <x v="1"/>
  </r>
  <r>
    <n v="12212"/>
    <x v="0"/>
    <x v="0"/>
    <n v="10000"/>
    <n v="0"/>
    <x v="4"/>
    <x v="3"/>
    <x v="0"/>
    <n v="0"/>
    <x v="0"/>
    <x v="0"/>
    <n v="37"/>
    <x v="0"/>
    <x v="1"/>
  </r>
  <r>
    <n v="25529"/>
    <x v="1"/>
    <x v="1"/>
    <n v="10000"/>
    <n v="1"/>
    <x v="4"/>
    <x v="3"/>
    <x v="0"/>
    <n v="0"/>
    <x v="0"/>
    <x v="0"/>
    <n v="44"/>
    <x v="0"/>
    <x v="0"/>
  </r>
  <r>
    <n v="22170"/>
    <x v="0"/>
    <x v="0"/>
    <n v="30000"/>
    <n v="3"/>
    <x v="1"/>
    <x v="1"/>
    <x v="1"/>
    <n v="2"/>
    <x v="3"/>
    <x v="1"/>
    <n v="55"/>
    <x v="1"/>
    <x v="1"/>
  </r>
  <r>
    <n v="19445"/>
    <x v="0"/>
    <x v="0"/>
    <n v="10000"/>
    <n v="2"/>
    <x v="2"/>
    <x v="3"/>
    <x v="1"/>
    <n v="1"/>
    <x v="0"/>
    <x v="0"/>
    <n v="38"/>
    <x v="0"/>
    <x v="0"/>
  </r>
  <r>
    <n v="15265"/>
    <x v="1"/>
    <x v="1"/>
    <n v="40000"/>
    <n v="2"/>
    <x v="0"/>
    <x v="4"/>
    <x v="0"/>
    <n v="2"/>
    <x v="2"/>
    <x v="1"/>
    <n v="66"/>
    <x v="1"/>
    <x v="1"/>
  </r>
  <r>
    <n v="28918"/>
    <x v="0"/>
    <x v="0"/>
    <n v="130000"/>
    <n v="4"/>
    <x v="2"/>
    <x v="4"/>
    <x v="1"/>
    <n v="4"/>
    <x v="4"/>
    <x v="0"/>
    <n v="58"/>
    <x v="1"/>
    <x v="0"/>
  </r>
  <r>
    <n v="15799"/>
    <x v="0"/>
    <x v="0"/>
    <n v="90000"/>
    <n v="1"/>
    <x v="0"/>
    <x v="2"/>
    <x v="0"/>
    <n v="1"/>
    <x v="1"/>
    <x v="1"/>
    <n v="47"/>
    <x v="0"/>
    <x v="1"/>
  </r>
  <r>
    <n v="11047"/>
    <x v="0"/>
    <x v="0"/>
    <n v="30000"/>
    <n v="3"/>
    <x v="2"/>
    <x v="0"/>
    <x v="1"/>
    <n v="2"/>
    <x v="3"/>
    <x v="1"/>
    <n v="56"/>
    <x v="1"/>
    <x v="1"/>
  </r>
  <r>
    <n v="18151"/>
    <x v="1"/>
    <x v="1"/>
    <n v="80000"/>
    <n v="5"/>
    <x v="1"/>
    <x v="2"/>
    <x v="1"/>
    <n v="2"/>
    <x v="4"/>
    <x v="0"/>
    <n v="59"/>
    <x v="1"/>
    <x v="0"/>
  </r>
  <r>
    <n v="20606"/>
    <x v="0"/>
    <x v="0"/>
    <n v="70000"/>
    <n v="0"/>
    <x v="0"/>
    <x v="2"/>
    <x v="0"/>
    <n v="4"/>
    <x v="4"/>
    <x v="1"/>
    <n v="32"/>
    <x v="0"/>
    <x v="1"/>
  </r>
  <r>
    <n v="19482"/>
    <x v="0"/>
    <x v="1"/>
    <n v="30000"/>
    <n v="1"/>
    <x v="1"/>
    <x v="1"/>
    <x v="0"/>
    <n v="1"/>
    <x v="0"/>
    <x v="0"/>
    <n v="44"/>
    <x v="0"/>
    <x v="1"/>
  </r>
  <r>
    <n v="16489"/>
    <x v="0"/>
    <x v="1"/>
    <n v="30000"/>
    <n v="3"/>
    <x v="2"/>
    <x v="0"/>
    <x v="0"/>
    <n v="2"/>
    <x v="2"/>
    <x v="1"/>
    <n v="55"/>
    <x v="1"/>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2"/>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2"/>
    <x v="1"/>
  </r>
  <r>
    <n v="18626"/>
    <x v="1"/>
    <x v="1"/>
    <n v="40000"/>
    <n v="2"/>
    <x v="1"/>
    <x v="1"/>
    <x v="0"/>
    <n v="0"/>
    <x v="3"/>
    <x v="0"/>
    <n v="33"/>
    <x v="0"/>
    <x v="1"/>
  </r>
  <r>
    <n v="29298"/>
    <x v="1"/>
    <x v="0"/>
    <n v="60000"/>
    <n v="1"/>
    <x v="1"/>
    <x v="0"/>
    <x v="0"/>
    <n v="1"/>
    <x v="2"/>
    <x v="1"/>
    <n v="46"/>
    <x v="0"/>
    <x v="1"/>
  </r>
  <r>
    <n v="24842"/>
    <x v="1"/>
    <x v="0"/>
    <n v="90000"/>
    <n v="3"/>
    <x v="2"/>
    <x v="2"/>
    <x v="1"/>
    <n v="1"/>
    <x v="1"/>
    <x v="0"/>
    <n v="51"/>
    <x v="1"/>
    <x v="0"/>
  </r>
  <r>
    <n v="15657"/>
    <x v="0"/>
    <x v="1"/>
    <n v="30000"/>
    <n v="3"/>
    <x v="4"/>
    <x v="1"/>
    <x v="0"/>
    <n v="0"/>
    <x v="0"/>
    <x v="0"/>
    <n v="46"/>
    <x v="0"/>
    <x v="1"/>
  </r>
  <r>
    <n v="11415"/>
    <x v="1"/>
    <x v="1"/>
    <n v="90000"/>
    <n v="5"/>
    <x v="1"/>
    <x v="2"/>
    <x v="1"/>
    <n v="2"/>
    <x v="4"/>
    <x v="0"/>
    <n v="62"/>
    <x v="1"/>
    <x v="0"/>
  </r>
  <r>
    <n v="28729"/>
    <x v="1"/>
    <x v="0"/>
    <n v="20000"/>
    <n v="0"/>
    <x v="3"/>
    <x v="3"/>
    <x v="0"/>
    <n v="2"/>
    <x v="3"/>
    <x v="0"/>
    <n v="26"/>
    <x v="2"/>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2"/>
    <x v="0"/>
  </r>
  <r>
    <n v="11451"/>
    <x v="1"/>
    <x v="1"/>
    <n v="70000"/>
    <n v="0"/>
    <x v="0"/>
    <x v="2"/>
    <x v="1"/>
    <n v="4"/>
    <x v="4"/>
    <x v="1"/>
    <n v="31"/>
    <x v="0"/>
    <x v="1"/>
  </r>
  <r>
    <n v="25553"/>
    <x v="0"/>
    <x v="1"/>
    <n v="30000"/>
    <n v="1"/>
    <x v="0"/>
    <x v="1"/>
    <x v="0"/>
    <n v="0"/>
    <x v="0"/>
    <x v="0"/>
    <n v="65"/>
    <x v="1"/>
    <x v="1"/>
  </r>
  <r>
    <n v="27951"/>
    <x v="1"/>
    <x v="1"/>
    <n v="80000"/>
    <n v="4"/>
    <x v="1"/>
    <x v="2"/>
    <x v="1"/>
    <n v="2"/>
    <x v="1"/>
    <x v="0"/>
    <n v="54"/>
    <x v="1"/>
    <x v="1"/>
  </r>
  <r>
    <n v="25026"/>
    <x v="0"/>
    <x v="1"/>
    <n v="20000"/>
    <n v="2"/>
    <x v="3"/>
    <x v="1"/>
    <x v="0"/>
    <n v="3"/>
    <x v="2"/>
    <x v="1"/>
    <n v="54"/>
    <x v="1"/>
    <x v="0"/>
  </r>
  <r>
    <n v="13673"/>
    <x v="1"/>
    <x v="0"/>
    <n v="20000"/>
    <n v="0"/>
    <x v="3"/>
    <x v="3"/>
    <x v="1"/>
    <n v="2"/>
    <x v="0"/>
    <x v="0"/>
    <n v="25"/>
    <x v="2"/>
    <x v="0"/>
  </r>
  <r>
    <n v="16043"/>
    <x v="1"/>
    <x v="1"/>
    <n v="10000"/>
    <n v="1"/>
    <x v="0"/>
    <x v="3"/>
    <x v="0"/>
    <n v="0"/>
    <x v="0"/>
    <x v="0"/>
    <n v="48"/>
    <x v="0"/>
    <x v="0"/>
  </r>
  <r>
    <n v="22399"/>
    <x v="1"/>
    <x v="1"/>
    <n v="10000"/>
    <n v="0"/>
    <x v="1"/>
    <x v="3"/>
    <x v="0"/>
    <n v="1"/>
    <x v="3"/>
    <x v="1"/>
    <n v="26"/>
    <x v="2"/>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1"/>
    <x v="0"/>
  </r>
  <r>
    <n v="22830"/>
    <x v="0"/>
    <x v="1"/>
    <n v="120000"/>
    <n v="4"/>
    <x v="1"/>
    <x v="4"/>
    <x v="0"/>
    <n v="3"/>
    <x v="4"/>
    <x v="0"/>
    <n v="56"/>
    <x v="1"/>
    <x v="0"/>
  </r>
  <r>
    <n v="14777"/>
    <x v="0"/>
    <x v="0"/>
    <n v="40000"/>
    <n v="0"/>
    <x v="0"/>
    <x v="1"/>
    <x v="0"/>
    <n v="0"/>
    <x v="0"/>
    <x v="0"/>
    <n v="38"/>
    <x v="0"/>
    <x v="1"/>
  </r>
  <r>
    <n v="12591"/>
    <x v="0"/>
    <x v="0"/>
    <n v="30000"/>
    <n v="4"/>
    <x v="4"/>
    <x v="1"/>
    <x v="0"/>
    <n v="0"/>
    <x v="0"/>
    <x v="0"/>
    <n v="45"/>
    <x v="0"/>
    <x v="0"/>
  </r>
  <r>
    <n v="24174"/>
    <x v="0"/>
    <x v="1"/>
    <n v="20000"/>
    <n v="0"/>
    <x v="0"/>
    <x v="1"/>
    <x v="0"/>
    <n v="0"/>
    <x v="0"/>
    <x v="1"/>
    <n v="27"/>
    <x v="2"/>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2"/>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2"/>
    <x v="0"/>
  </r>
  <r>
    <n v="23908"/>
    <x v="1"/>
    <x v="1"/>
    <n v="30000"/>
    <n v="1"/>
    <x v="0"/>
    <x v="1"/>
    <x v="1"/>
    <n v="1"/>
    <x v="0"/>
    <x v="0"/>
    <n v="39"/>
    <x v="0"/>
    <x v="1"/>
  </r>
  <r>
    <n v="22527"/>
    <x v="1"/>
    <x v="0"/>
    <n v="20000"/>
    <n v="0"/>
    <x v="2"/>
    <x v="3"/>
    <x v="1"/>
    <n v="1"/>
    <x v="1"/>
    <x v="0"/>
    <n v="29"/>
    <x v="2"/>
    <x v="0"/>
  </r>
  <r>
    <n v="19057"/>
    <x v="0"/>
    <x v="0"/>
    <n v="120000"/>
    <n v="3"/>
    <x v="0"/>
    <x v="4"/>
    <x v="1"/>
    <n v="2"/>
    <x v="4"/>
    <x v="0"/>
    <n v="52"/>
    <x v="1"/>
    <x v="1"/>
  </r>
  <r>
    <n v="18494"/>
    <x v="0"/>
    <x v="1"/>
    <n v="110000"/>
    <n v="5"/>
    <x v="0"/>
    <x v="4"/>
    <x v="0"/>
    <n v="4"/>
    <x v="1"/>
    <x v="1"/>
    <n v="48"/>
    <x v="0"/>
    <x v="1"/>
  </r>
  <r>
    <n v="11249"/>
    <x v="0"/>
    <x v="0"/>
    <n v="130000"/>
    <n v="3"/>
    <x v="1"/>
    <x v="2"/>
    <x v="0"/>
    <n v="3"/>
    <x v="0"/>
    <x v="0"/>
    <n v="51"/>
    <x v="1"/>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1"/>
    <x v="0"/>
  </r>
  <r>
    <n v="12666"/>
    <x v="1"/>
    <x v="1"/>
    <n v="60000"/>
    <n v="0"/>
    <x v="0"/>
    <x v="2"/>
    <x v="1"/>
    <n v="4"/>
    <x v="1"/>
    <x v="1"/>
    <n v="31"/>
    <x v="0"/>
    <x v="0"/>
  </r>
  <r>
    <n v="20598"/>
    <x v="0"/>
    <x v="1"/>
    <n v="100000"/>
    <n v="3"/>
    <x v="3"/>
    <x v="2"/>
    <x v="0"/>
    <n v="0"/>
    <x v="4"/>
    <x v="0"/>
    <n v="59"/>
    <x v="1"/>
    <x v="1"/>
  </r>
  <r>
    <n v="21375"/>
    <x v="1"/>
    <x v="1"/>
    <n v="20000"/>
    <n v="2"/>
    <x v="3"/>
    <x v="1"/>
    <x v="0"/>
    <n v="2"/>
    <x v="2"/>
    <x v="1"/>
    <n v="57"/>
    <x v="1"/>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1"/>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1"/>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2"/>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1"/>
    <x v="1"/>
  </r>
  <r>
    <n v="25665"/>
    <x v="1"/>
    <x v="0"/>
    <n v="20000"/>
    <n v="0"/>
    <x v="2"/>
    <x v="3"/>
    <x v="1"/>
    <n v="1"/>
    <x v="3"/>
    <x v="0"/>
    <n v="28"/>
    <x v="2"/>
    <x v="0"/>
  </r>
  <r>
    <n v="24061"/>
    <x v="0"/>
    <x v="1"/>
    <n v="10000"/>
    <n v="4"/>
    <x v="3"/>
    <x v="3"/>
    <x v="0"/>
    <n v="1"/>
    <x v="0"/>
    <x v="0"/>
    <n v="40"/>
    <x v="0"/>
    <x v="1"/>
  </r>
  <r>
    <n v="26879"/>
    <x v="1"/>
    <x v="0"/>
    <n v="20000"/>
    <n v="0"/>
    <x v="2"/>
    <x v="3"/>
    <x v="1"/>
    <n v="1"/>
    <x v="1"/>
    <x v="0"/>
    <n v="30"/>
    <x v="2"/>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1"/>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1"/>
    <x v="1"/>
  </r>
  <r>
    <n v="13136"/>
    <x v="0"/>
    <x v="0"/>
    <n v="30000"/>
    <n v="2"/>
    <x v="1"/>
    <x v="1"/>
    <x v="1"/>
    <n v="2"/>
    <x v="2"/>
    <x v="1"/>
    <n v="69"/>
    <x v="1"/>
    <x v="0"/>
  </r>
  <r>
    <n v="25906"/>
    <x v="1"/>
    <x v="0"/>
    <n v="10000"/>
    <n v="5"/>
    <x v="2"/>
    <x v="0"/>
    <x v="1"/>
    <n v="2"/>
    <x v="3"/>
    <x v="1"/>
    <n v="62"/>
    <x v="1"/>
    <x v="0"/>
  </r>
  <r>
    <n v="17926"/>
    <x v="1"/>
    <x v="0"/>
    <n v="40000"/>
    <n v="0"/>
    <x v="0"/>
    <x v="1"/>
    <x v="1"/>
    <n v="0"/>
    <x v="0"/>
    <x v="1"/>
    <n v="28"/>
    <x v="2"/>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1"/>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1"/>
    <x v="1"/>
  </r>
  <r>
    <n v="23105"/>
    <x v="1"/>
    <x v="1"/>
    <n v="40000"/>
    <n v="3"/>
    <x v="3"/>
    <x v="1"/>
    <x v="1"/>
    <n v="2"/>
    <x v="2"/>
    <x v="1"/>
    <n v="52"/>
    <x v="1"/>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1"/>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2"/>
    <x v="1"/>
  </r>
  <r>
    <n v="28379"/>
    <x v="0"/>
    <x v="1"/>
    <n v="30000"/>
    <n v="1"/>
    <x v="0"/>
    <x v="0"/>
    <x v="0"/>
    <n v="2"/>
    <x v="0"/>
    <x v="0"/>
    <n v="40"/>
    <x v="0"/>
    <x v="0"/>
  </r>
  <r>
    <n v="14865"/>
    <x v="1"/>
    <x v="1"/>
    <n v="40000"/>
    <n v="2"/>
    <x v="1"/>
    <x v="1"/>
    <x v="0"/>
    <n v="2"/>
    <x v="3"/>
    <x v="0"/>
    <n v="36"/>
    <x v="0"/>
    <x v="0"/>
  </r>
  <r>
    <n v="12663"/>
    <x v="0"/>
    <x v="0"/>
    <n v="90000"/>
    <n v="5"/>
    <x v="3"/>
    <x v="0"/>
    <x v="0"/>
    <n v="2"/>
    <x v="4"/>
    <x v="0"/>
    <n v="59"/>
    <x v="1"/>
    <x v="0"/>
  </r>
  <r>
    <n v="24898"/>
    <x v="1"/>
    <x v="0"/>
    <n v="80000"/>
    <n v="0"/>
    <x v="0"/>
    <x v="2"/>
    <x v="0"/>
    <n v="3"/>
    <x v="4"/>
    <x v="1"/>
    <n v="32"/>
    <x v="0"/>
    <x v="0"/>
  </r>
  <r>
    <n v="19508"/>
    <x v="0"/>
    <x v="1"/>
    <n v="10000"/>
    <n v="0"/>
    <x v="3"/>
    <x v="3"/>
    <x v="1"/>
    <n v="2"/>
    <x v="0"/>
    <x v="0"/>
    <n v="30"/>
    <x v="2"/>
    <x v="0"/>
  </r>
  <r>
    <n v="11489"/>
    <x v="1"/>
    <x v="0"/>
    <n v="20000"/>
    <n v="0"/>
    <x v="3"/>
    <x v="3"/>
    <x v="1"/>
    <n v="2"/>
    <x v="3"/>
    <x v="0"/>
    <n v="35"/>
    <x v="0"/>
    <x v="1"/>
  </r>
  <r>
    <n v="18160"/>
    <x v="0"/>
    <x v="1"/>
    <n v="130000"/>
    <n v="3"/>
    <x v="2"/>
    <x v="2"/>
    <x v="0"/>
    <n v="4"/>
    <x v="2"/>
    <x v="0"/>
    <n v="51"/>
    <x v="1"/>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2"/>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2"/>
    <x v="1"/>
  </r>
  <r>
    <n v="27878"/>
    <x v="1"/>
    <x v="1"/>
    <n v="20000"/>
    <n v="0"/>
    <x v="1"/>
    <x v="3"/>
    <x v="1"/>
    <n v="0"/>
    <x v="0"/>
    <x v="1"/>
    <n v="28"/>
    <x v="2"/>
    <x v="1"/>
  </r>
  <r>
    <n v="13572"/>
    <x v="1"/>
    <x v="1"/>
    <n v="10000"/>
    <n v="3"/>
    <x v="2"/>
    <x v="3"/>
    <x v="0"/>
    <n v="0"/>
    <x v="0"/>
    <x v="0"/>
    <n v="37"/>
    <x v="0"/>
    <x v="1"/>
  </r>
  <r>
    <n v="27941"/>
    <x v="0"/>
    <x v="0"/>
    <n v="80000"/>
    <n v="4"/>
    <x v="1"/>
    <x v="2"/>
    <x v="0"/>
    <n v="2"/>
    <x v="1"/>
    <x v="0"/>
    <n v="53"/>
    <x v="1"/>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1"/>
    <x v="1"/>
  </r>
  <r>
    <n v="22538"/>
    <x v="1"/>
    <x v="0"/>
    <n v="10000"/>
    <n v="0"/>
    <x v="3"/>
    <x v="3"/>
    <x v="0"/>
    <n v="2"/>
    <x v="3"/>
    <x v="0"/>
    <n v="33"/>
    <x v="0"/>
    <x v="0"/>
  </r>
  <r>
    <n v="12332"/>
    <x v="0"/>
    <x v="1"/>
    <n v="90000"/>
    <n v="4"/>
    <x v="2"/>
    <x v="4"/>
    <x v="0"/>
    <n v="3"/>
    <x v="2"/>
    <x v="0"/>
    <n v="58"/>
    <x v="1"/>
    <x v="1"/>
  </r>
  <r>
    <n v="17230"/>
    <x v="0"/>
    <x v="1"/>
    <n v="80000"/>
    <n v="0"/>
    <x v="0"/>
    <x v="2"/>
    <x v="0"/>
    <n v="3"/>
    <x v="4"/>
    <x v="1"/>
    <n v="30"/>
    <x v="2"/>
    <x v="0"/>
  </r>
  <r>
    <n v="13082"/>
    <x v="1"/>
    <x v="1"/>
    <n v="130000"/>
    <n v="0"/>
    <x v="4"/>
    <x v="4"/>
    <x v="0"/>
    <n v="0"/>
    <x v="1"/>
    <x v="1"/>
    <n v="48"/>
    <x v="0"/>
    <x v="1"/>
  </r>
  <r>
    <n v="22518"/>
    <x v="1"/>
    <x v="0"/>
    <n v="30000"/>
    <n v="3"/>
    <x v="1"/>
    <x v="1"/>
    <x v="1"/>
    <n v="2"/>
    <x v="0"/>
    <x v="0"/>
    <n v="27"/>
    <x v="2"/>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1"/>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2"/>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1"/>
    <x v="1"/>
  </r>
  <r>
    <n v="20417"/>
    <x v="0"/>
    <x v="1"/>
    <n v="30000"/>
    <n v="3"/>
    <x v="1"/>
    <x v="1"/>
    <x v="1"/>
    <n v="2"/>
    <x v="2"/>
    <x v="1"/>
    <n v="56"/>
    <x v="1"/>
    <x v="0"/>
  </r>
  <r>
    <n v="18267"/>
    <x v="0"/>
    <x v="1"/>
    <n v="60000"/>
    <n v="3"/>
    <x v="0"/>
    <x v="2"/>
    <x v="0"/>
    <n v="2"/>
    <x v="2"/>
    <x v="1"/>
    <n v="43"/>
    <x v="0"/>
    <x v="0"/>
  </r>
  <r>
    <n v="13620"/>
    <x v="1"/>
    <x v="1"/>
    <n v="70000"/>
    <n v="0"/>
    <x v="0"/>
    <x v="2"/>
    <x v="1"/>
    <n v="3"/>
    <x v="4"/>
    <x v="1"/>
    <n v="30"/>
    <x v="2"/>
    <x v="1"/>
  </r>
  <r>
    <n v="22974"/>
    <x v="0"/>
    <x v="0"/>
    <n v="30000"/>
    <n v="2"/>
    <x v="1"/>
    <x v="1"/>
    <x v="0"/>
    <n v="2"/>
    <x v="2"/>
    <x v="1"/>
    <n v="69"/>
    <x v="1"/>
    <x v="0"/>
  </r>
  <r>
    <n v="13586"/>
    <x v="0"/>
    <x v="1"/>
    <n v="80000"/>
    <n v="4"/>
    <x v="1"/>
    <x v="2"/>
    <x v="0"/>
    <n v="2"/>
    <x v="4"/>
    <x v="0"/>
    <n v="53"/>
    <x v="1"/>
    <x v="0"/>
  </r>
  <r>
    <n v="17978"/>
    <x v="0"/>
    <x v="1"/>
    <n v="40000"/>
    <n v="0"/>
    <x v="4"/>
    <x v="1"/>
    <x v="0"/>
    <n v="0"/>
    <x v="0"/>
    <x v="0"/>
    <n v="37"/>
    <x v="0"/>
    <x v="1"/>
  </r>
  <r>
    <n v="12581"/>
    <x v="1"/>
    <x v="0"/>
    <n v="10000"/>
    <n v="0"/>
    <x v="1"/>
    <x v="3"/>
    <x v="1"/>
    <n v="1"/>
    <x v="0"/>
    <x v="1"/>
    <n v="28"/>
    <x v="2"/>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1"/>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1"/>
    <x v="0"/>
  </r>
  <r>
    <n v="27771"/>
    <x v="1"/>
    <x v="1"/>
    <n v="30000"/>
    <n v="1"/>
    <x v="0"/>
    <x v="1"/>
    <x v="0"/>
    <n v="1"/>
    <x v="3"/>
    <x v="0"/>
    <n v="39"/>
    <x v="0"/>
    <x v="1"/>
  </r>
  <r>
    <n v="26167"/>
    <x v="1"/>
    <x v="0"/>
    <n v="40000"/>
    <n v="2"/>
    <x v="0"/>
    <x v="4"/>
    <x v="1"/>
    <n v="1"/>
    <x v="2"/>
    <x v="1"/>
    <n v="53"/>
    <x v="1"/>
    <x v="1"/>
  </r>
  <r>
    <n v="25792"/>
    <x v="1"/>
    <x v="0"/>
    <n v="110000"/>
    <n v="3"/>
    <x v="0"/>
    <x v="4"/>
    <x v="0"/>
    <n v="4"/>
    <x v="4"/>
    <x v="0"/>
    <n v="53"/>
    <x v="1"/>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1"/>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1"/>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1"/>
    <x v="1"/>
  </r>
  <r>
    <n v="18153"/>
    <x v="0"/>
    <x v="0"/>
    <n v="100000"/>
    <n v="2"/>
    <x v="0"/>
    <x v="4"/>
    <x v="0"/>
    <n v="4"/>
    <x v="4"/>
    <x v="0"/>
    <n v="59"/>
    <x v="1"/>
    <x v="0"/>
  </r>
  <r>
    <n v="14547"/>
    <x v="0"/>
    <x v="1"/>
    <n v="10000"/>
    <n v="2"/>
    <x v="1"/>
    <x v="3"/>
    <x v="0"/>
    <n v="0"/>
    <x v="3"/>
    <x v="0"/>
    <n v="51"/>
    <x v="1"/>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2"/>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1"/>
    <x v="0"/>
  </r>
  <r>
    <n v="28488"/>
    <x v="1"/>
    <x v="1"/>
    <n v="20000"/>
    <n v="0"/>
    <x v="1"/>
    <x v="3"/>
    <x v="0"/>
    <n v="0"/>
    <x v="0"/>
    <x v="1"/>
    <n v="28"/>
    <x v="2"/>
    <x v="1"/>
  </r>
  <r>
    <n v="21891"/>
    <x v="0"/>
    <x v="0"/>
    <n v="110000"/>
    <n v="0"/>
    <x v="2"/>
    <x v="4"/>
    <x v="0"/>
    <n v="3"/>
    <x v="4"/>
    <x v="1"/>
    <n v="34"/>
    <x v="0"/>
    <x v="1"/>
  </r>
  <r>
    <n v="27814"/>
    <x v="1"/>
    <x v="0"/>
    <n v="30000"/>
    <n v="3"/>
    <x v="1"/>
    <x v="1"/>
    <x v="1"/>
    <n v="1"/>
    <x v="0"/>
    <x v="0"/>
    <n v="26"/>
    <x v="2"/>
    <x v="0"/>
  </r>
  <r>
    <n v="22175"/>
    <x v="0"/>
    <x v="0"/>
    <n v="30000"/>
    <n v="3"/>
    <x v="2"/>
    <x v="0"/>
    <x v="0"/>
    <n v="2"/>
    <x v="2"/>
    <x v="1"/>
    <n v="53"/>
    <x v="1"/>
    <x v="1"/>
  </r>
  <r>
    <n v="29447"/>
    <x v="1"/>
    <x v="0"/>
    <n v="10000"/>
    <n v="2"/>
    <x v="0"/>
    <x v="1"/>
    <x v="1"/>
    <n v="1"/>
    <x v="1"/>
    <x v="0"/>
    <n v="68"/>
    <x v="1"/>
    <x v="0"/>
  </r>
  <r>
    <n v="19784"/>
    <x v="0"/>
    <x v="0"/>
    <n v="80000"/>
    <n v="2"/>
    <x v="2"/>
    <x v="0"/>
    <x v="0"/>
    <n v="2"/>
    <x v="2"/>
    <x v="1"/>
    <n v="50"/>
    <x v="0"/>
    <x v="1"/>
  </r>
  <r>
    <n v="27824"/>
    <x v="1"/>
    <x v="0"/>
    <n v="30000"/>
    <n v="3"/>
    <x v="1"/>
    <x v="1"/>
    <x v="0"/>
    <n v="2"/>
    <x v="0"/>
    <x v="0"/>
    <n v="28"/>
    <x v="2"/>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1"/>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1"/>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2"/>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1"/>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1"/>
    <x v="0"/>
  </r>
  <r>
    <n v="24981"/>
    <x v="0"/>
    <x v="1"/>
    <n v="60000"/>
    <n v="2"/>
    <x v="1"/>
    <x v="2"/>
    <x v="0"/>
    <n v="2"/>
    <x v="4"/>
    <x v="2"/>
    <n v="56"/>
    <x v="1"/>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2"/>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1"/>
    <x v="1"/>
  </r>
  <r>
    <n v="16337"/>
    <x v="0"/>
    <x v="1"/>
    <n v="60000"/>
    <n v="0"/>
    <x v="1"/>
    <x v="0"/>
    <x v="1"/>
    <n v="2"/>
    <x v="3"/>
    <x v="2"/>
    <n v="29"/>
    <x v="2"/>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1"/>
    <x v="1"/>
  </r>
  <r>
    <n v="15382"/>
    <x v="0"/>
    <x v="0"/>
    <n v="110000"/>
    <n v="1"/>
    <x v="0"/>
    <x v="4"/>
    <x v="0"/>
    <n v="2"/>
    <x v="3"/>
    <x v="2"/>
    <n v="44"/>
    <x v="0"/>
    <x v="0"/>
  </r>
  <r>
    <n v="11641"/>
    <x v="0"/>
    <x v="1"/>
    <n v="50000"/>
    <n v="1"/>
    <x v="0"/>
    <x v="0"/>
    <x v="0"/>
    <n v="0"/>
    <x v="0"/>
    <x v="2"/>
    <n v="36"/>
    <x v="0"/>
    <x v="0"/>
  </r>
  <r>
    <n v="11935"/>
    <x v="1"/>
    <x v="0"/>
    <n v="30000"/>
    <n v="0"/>
    <x v="1"/>
    <x v="0"/>
    <x v="0"/>
    <n v="1"/>
    <x v="2"/>
    <x v="2"/>
    <n v="28"/>
    <x v="2"/>
    <x v="0"/>
  </r>
  <r>
    <n v="13233"/>
    <x v="0"/>
    <x v="1"/>
    <n v="60000"/>
    <n v="2"/>
    <x v="1"/>
    <x v="2"/>
    <x v="0"/>
    <n v="1"/>
    <x v="4"/>
    <x v="2"/>
    <n v="57"/>
    <x v="1"/>
    <x v="1"/>
  </r>
  <r>
    <n v="25909"/>
    <x v="0"/>
    <x v="1"/>
    <n v="60000"/>
    <n v="0"/>
    <x v="1"/>
    <x v="0"/>
    <x v="0"/>
    <n v="1"/>
    <x v="2"/>
    <x v="2"/>
    <n v="27"/>
    <x v="2"/>
    <x v="1"/>
  </r>
  <r>
    <n v="14092"/>
    <x v="1"/>
    <x v="1"/>
    <n v="30000"/>
    <n v="0"/>
    <x v="3"/>
    <x v="1"/>
    <x v="0"/>
    <n v="2"/>
    <x v="2"/>
    <x v="2"/>
    <n v="28"/>
    <x v="2"/>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1"/>
    <x v="0"/>
  </r>
  <r>
    <n v="25375"/>
    <x v="0"/>
    <x v="1"/>
    <n v="50000"/>
    <n v="1"/>
    <x v="4"/>
    <x v="0"/>
    <x v="0"/>
    <n v="0"/>
    <x v="3"/>
    <x v="2"/>
    <n v="34"/>
    <x v="0"/>
    <x v="0"/>
  </r>
  <r>
    <n v="11143"/>
    <x v="0"/>
    <x v="1"/>
    <n v="40000"/>
    <n v="0"/>
    <x v="2"/>
    <x v="0"/>
    <x v="0"/>
    <n v="2"/>
    <x v="2"/>
    <x v="2"/>
    <n v="29"/>
    <x v="2"/>
    <x v="0"/>
  </r>
  <r>
    <n v="25898"/>
    <x v="0"/>
    <x v="0"/>
    <n v="70000"/>
    <n v="2"/>
    <x v="2"/>
    <x v="2"/>
    <x v="0"/>
    <n v="2"/>
    <x v="1"/>
    <x v="2"/>
    <n v="53"/>
    <x v="1"/>
    <x v="0"/>
  </r>
  <r>
    <n v="24397"/>
    <x v="1"/>
    <x v="1"/>
    <n v="120000"/>
    <n v="2"/>
    <x v="0"/>
    <x v="4"/>
    <x v="1"/>
    <n v="4"/>
    <x v="3"/>
    <x v="2"/>
    <n v="40"/>
    <x v="0"/>
    <x v="0"/>
  </r>
  <r>
    <n v="19758"/>
    <x v="1"/>
    <x v="1"/>
    <n v="60000"/>
    <n v="0"/>
    <x v="1"/>
    <x v="0"/>
    <x v="1"/>
    <n v="2"/>
    <x v="3"/>
    <x v="2"/>
    <n v="29"/>
    <x v="2"/>
    <x v="0"/>
  </r>
  <r>
    <n v="15529"/>
    <x v="0"/>
    <x v="1"/>
    <n v="60000"/>
    <n v="4"/>
    <x v="0"/>
    <x v="2"/>
    <x v="0"/>
    <n v="2"/>
    <x v="1"/>
    <x v="2"/>
    <n v="43"/>
    <x v="0"/>
    <x v="1"/>
  </r>
  <r>
    <n v="19884"/>
    <x v="0"/>
    <x v="1"/>
    <n v="60000"/>
    <n v="2"/>
    <x v="2"/>
    <x v="2"/>
    <x v="0"/>
    <n v="2"/>
    <x v="1"/>
    <x v="2"/>
    <n v="55"/>
    <x v="1"/>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1"/>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1"/>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2"/>
    <x v="0"/>
  </r>
  <r>
    <n v="17369"/>
    <x v="1"/>
    <x v="1"/>
    <n v="30000"/>
    <n v="0"/>
    <x v="1"/>
    <x v="0"/>
    <x v="0"/>
    <n v="1"/>
    <x v="2"/>
    <x v="2"/>
    <n v="27"/>
    <x v="2"/>
    <x v="0"/>
  </r>
  <r>
    <n v="14495"/>
    <x v="0"/>
    <x v="1"/>
    <n v="40000"/>
    <n v="3"/>
    <x v="1"/>
    <x v="2"/>
    <x v="1"/>
    <n v="2"/>
    <x v="2"/>
    <x v="2"/>
    <n v="54"/>
    <x v="1"/>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1"/>
    <x v="0"/>
  </r>
  <r>
    <n v="20528"/>
    <x v="0"/>
    <x v="1"/>
    <n v="40000"/>
    <n v="2"/>
    <x v="3"/>
    <x v="0"/>
    <x v="0"/>
    <n v="2"/>
    <x v="1"/>
    <x v="2"/>
    <n v="55"/>
    <x v="1"/>
    <x v="0"/>
  </r>
  <r>
    <n v="23549"/>
    <x v="1"/>
    <x v="1"/>
    <n v="30000"/>
    <n v="0"/>
    <x v="2"/>
    <x v="0"/>
    <x v="0"/>
    <n v="2"/>
    <x v="2"/>
    <x v="2"/>
    <n v="30"/>
    <x v="2"/>
    <x v="0"/>
  </r>
  <r>
    <n v="21751"/>
    <x v="0"/>
    <x v="1"/>
    <n v="60000"/>
    <n v="3"/>
    <x v="4"/>
    <x v="4"/>
    <x v="0"/>
    <n v="2"/>
    <x v="3"/>
    <x v="2"/>
    <n v="63"/>
    <x v="1"/>
    <x v="0"/>
  </r>
  <r>
    <n v="21266"/>
    <x v="1"/>
    <x v="0"/>
    <n v="80000"/>
    <n v="0"/>
    <x v="0"/>
    <x v="4"/>
    <x v="0"/>
    <n v="1"/>
    <x v="3"/>
    <x v="2"/>
    <n v="34"/>
    <x v="0"/>
    <x v="1"/>
  </r>
  <r>
    <n v="13388"/>
    <x v="1"/>
    <x v="1"/>
    <n v="60000"/>
    <n v="2"/>
    <x v="1"/>
    <x v="2"/>
    <x v="0"/>
    <n v="1"/>
    <x v="4"/>
    <x v="2"/>
    <n v="56"/>
    <x v="1"/>
    <x v="0"/>
  </r>
  <r>
    <n v="18752"/>
    <x v="1"/>
    <x v="0"/>
    <n v="40000"/>
    <n v="0"/>
    <x v="2"/>
    <x v="0"/>
    <x v="0"/>
    <n v="1"/>
    <x v="2"/>
    <x v="2"/>
    <n v="31"/>
    <x v="0"/>
    <x v="0"/>
  </r>
  <r>
    <n v="16917"/>
    <x v="0"/>
    <x v="1"/>
    <n v="120000"/>
    <n v="1"/>
    <x v="0"/>
    <x v="4"/>
    <x v="0"/>
    <n v="4"/>
    <x v="0"/>
    <x v="2"/>
    <n v="38"/>
    <x v="0"/>
    <x v="0"/>
  </r>
  <r>
    <n v="15313"/>
    <x v="0"/>
    <x v="1"/>
    <n v="60000"/>
    <n v="4"/>
    <x v="0"/>
    <x v="4"/>
    <x v="0"/>
    <n v="2"/>
    <x v="1"/>
    <x v="2"/>
    <n v="59"/>
    <x v="1"/>
    <x v="0"/>
  </r>
  <r>
    <n v="25329"/>
    <x v="1"/>
    <x v="0"/>
    <n v="40000"/>
    <n v="3"/>
    <x v="1"/>
    <x v="1"/>
    <x v="1"/>
    <n v="2"/>
    <x v="0"/>
    <x v="2"/>
    <n v="32"/>
    <x v="0"/>
    <x v="0"/>
  </r>
  <r>
    <n v="20380"/>
    <x v="0"/>
    <x v="0"/>
    <n v="60000"/>
    <n v="3"/>
    <x v="4"/>
    <x v="4"/>
    <x v="0"/>
    <n v="2"/>
    <x v="4"/>
    <x v="2"/>
    <n v="69"/>
    <x v="1"/>
    <x v="0"/>
  </r>
  <r>
    <n v="23089"/>
    <x v="0"/>
    <x v="1"/>
    <n v="40000"/>
    <n v="0"/>
    <x v="1"/>
    <x v="0"/>
    <x v="0"/>
    <n v="1"/>
    <x v="2"/>
    <x v="2"/>
    <n v="28"/>
    <x v="2"/>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1"/>
    <x v="0"/>
  </r>
  <r>
    <n v="18935"/>
    <x v="0"/>
    <x v="0"/>
    <n v="130000"/>
    <n v="0"/>
    <x v="4"/>
    <x v="4"/>
    <x v="0"/>
    <n v="3"/>
    <x v="3"/>
    <x v="2"/>
    <n v="40"/>
    <x v="0"/>
    <x v="0"/>
  </r>
  <r>
    <n v="16871"/>
    <x v="0"/>
    <x v="0"/>
    <n v="90000"/>
    <n v="2"/>
    <x v="2"/>
    <x v="2"/>
    <x v="0"/>
    <n v="1"/>
    <x v="4"/>
    <x v="2"/>
    <n v="51"/>
    <x v="1"/>
    <x v="1"/>
  </r>
  <r>
    <n v="12100"/>
    <x v="1"/>
    <x v="1"/>
    <n v="60000"/>
    <n v="2"/>
    <x v="0"/>
    <x v="4"/>
    <x v="0"/>
    <n v="0"/>
    <x v="4"/>
    <x v="2"/>
    <n v="57"/>
    <x v="1"/>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1"/>
    <x v="1"/>
  </r>
  <r>
    <n v="24398"/>
    <x v="0"/>
    <x v="1"/>
    <n v="130000"/>
    <n v="1"/>
    <x v="4"/>
    <x v="4"/>
    <x v="0"/>
    <n v="4"/>
    <x v="0"/>
    <x v="2"/>
    <n v="41"/>
    <x v="0"/>
    <x v="0"/>
  </r>
  <r>
    <n v="19002"/>
    <x v="0"/>
    <x v="0"/>
    <n v="60000"/>
    <n v="2"/>
    <x v="1"/>
    <x v="2"/>
    <x v="0"/>
    <n v="1"/>
    <x v="1"/>
    <x v="2"/>
    <n v="57"/>
    <x v="1"/>
    <x v="1"/>
  </r>
  <r>
    <n v="28609"/>
    <x v="0"/>
    <x v="1"/>
    <n v="30000"/>
    <n v="2"/>
    <x v="2"/>
    <x v="0"/>
    <x v="1"/>
    <n v="2"/>
    <x v="0"/>
    <x v="2"/>
    <n v="49"/>
    <x v="0"/>
    <x v="0"/>
  </r>
  <r>
    <n v="29231"/>
    <x v="1"/>
    <x v="1"/>
    <n v="80000"/>
    <n v="4"/>
    <x v="1"/>
    <x v="2"/>
    <x v="1"/>
    <n v="2"/>
    <x v="0"/>
    <x v="2"/>
    <n v="43"/>
    <x v="0"/>
    <x v="0"/>
  </r>
  <r>
    <n v="18858"/>
    <x v="1"/>
    <x v="1"/>
    <n v="60000"/>
    <n v="2"/>
    <x v="3"/>
    <x v="0"/>
    <x v="0"/>
    <n v="2"/>
    <x v="2"/>
    <x v="2"/>
    <n v="52"/>
    <x v="1"/>
    <x v="1"/>
  </r>
  <r>
    <n v="20000"/>
    <x v="0"/>
    <x v="1"/>
    <n v="60000"/>
    <n v="1"/>
    <x v="4"/>
    <x v="2"/>
    <x v="0"/>
    <n v="0"/>
    <x v="0"/>
    <x v="2"/>
    <n v="35"/>
    <x v="0"/>
    <x v="1"/>
  </r>
  <r>
    <n v="25261"/>
    <x v="0"/>
    <x v="1"/>
    <n v="40000"/>
    <n v="0"/>
    <x v="2"/>
    <x v="0"/>
    <x v="0"/>
    <n v="2"/>
    <x v="2"/>
    <x v="2"/>
    <n v="27"/>
    <x v="2"/>
    <x v="0"/>
  </r>
  <r>
    <n v="17458"/>
    <x v="1"/>
    <x v="1"/>
    <n v="70000"/>
    <n v="3"/>
    <x v="2"/>
    <x v="2"/>
    <x v="0"/>
    <n v="0"/>
    <x v="2"/>
    <x v="2"/>
    <n v="52"/>
    <x v="1"/>
    <x v="1"/>
  </r>
  <r>
    <n v="11644"/>
    <x v="1"/>
    <x v="1"/>
    <n v="40000"/>
    <n v="2"/>
    <x v="0"/>
    <x v="0"/>
    <x v="0"/>
    <n v="0"/>
    <x v="1"/>
    <x v="2"/>
    <n v="36"/>
    <x v="0"/>
    <x v="0"/>
  </r>
  <r>
    <n v="16145"/>
    <x v="1"/>
    <x v="0"/>
    <n v="70000"/>
    <n v="5"/>
    <x v="4"/>
    <x v="2"/>
    <x v="0"/>
    <n v="3"/>
    <x v="4"/>
    <x v="2"/>
    <n v="46"/>
    <x v="0"/>
    <x v="1"/>
  </r>
  <r>
    <n v="16890"/>
    <x v="0"/>
    <x v="1"/>
    <n v="60000"/>
    <n v="3"/>
    <x v="3"/>
    <x v="0"/>
    <x v="0"/>
    <n v="2"/>
    <x v="2"/>
    <x v="2"/>
    <n v="52"/>
    <x v="1"/>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2"/>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2"/>
    <x v="0"/>
  </r>
  <r>
    <n v="11259"/>
    <x v="0"/>
    <x v="0"/>
    <n v="100000"/>
    <n v="4"/>
    <x v="1"/>
    <x v="2"/>
    <x v="0"/>
    <n v="4"/>
    <x v="1"/>
    <x v="2"/>
    <n v="41"/>
    <x v="0"/>
    <x v="1"/>
  </r>
  <r>
    <n v="11200"/>
    <x v="0"/>
    <x v="1"/>
    <n v="70000"/>
    <n v="4"/>
    <x v="0"/>
    <x v="4"/>
    <x v="0"/>
    <n v="1"/>
    <x v="3"/>
    <x v="2"/>
    <n v="58"/>
    <x v="1"/>
    <x v="0"/>
  </r>
  <r>
    <n v="25101"/>
    <x v="0"/>
    <x v="1"/>
    <n v="60000"/>
    <n v="5"/>
    <x v="0"/>
    <x v="2"/>
    <x v="0"/>
    <n v="1"/>
    <x v="1"/>
    <x v="2"/>
    <n v="47"/>
    <x v="0"/>
    <x v="0"/>
  </r>
  <r>
    <n v="21801"/>
    <x v="0"/>
    <x v="0"/>
    <n v="70000"/>
    <n v="4"/>
    <x v="1"/>
    <x v="2"/>
    <x v="0"/>
    <n v="1"/>
    <x v="3"/>
    <x v="2"/>
    <n v="55"/>
    <x v="1"/>
    <x v="0"/>
  </r>
  <r>
    <n v="25943"/>
    <x v="1"/>
    <x v="0"/>
    <n v="70000"/>
    <n v="0"/>
    <x v="1"/>
    <x v="0"/>
    <x v="1"/>
    <n v="2"/>
    <x v="0"/>
    <x v="2"/>
    <n v="27"/>
    <x v="2"/>
    <x v="1"/>
  </r>
  <r>
    <n v="22127"/>
    <x v="0"/>
    <x v="1"/>
    <n v="60000"/>
    <n v="3"/>
    <x v="4"/>
    <x v="4"/>
    <x v="0"/>
    <n v="2"/>
    <x v="3"/>
    <x v="2"/>
    <n v="67"/>
    <x v="1"/>
    <x v="0"/>
  </r>
  <r>
    <n v="20414"/>
    <x v="0"/>
    <x v="0"/>
    <n v="60000"/>
    <n v="0"/>
    <x v="1"/>
    <x v="0"/>
    <x v="0"/>
    <n v="2"/>
    <x v="2"/>
    <x v="2"/>
    <n v="29"/>
    <x v="2"/>
    <x v="0"/>
  </r>
  <r>
    <n v="23672"/>
    <x v="0"/>
    <x v="0"/>
    <n v="60000"/>
    <n v="3"/>
    <x v="4"/>
    <x v="4"/>
    <x v="0"/>
    <n v="2"/>
    <x v="3"/>
    <x v="2"/>
    <n v="67"/>
    <x v="1"/>
    <x v="0"/>
  </r>
  <r>
    <n v="29255"/>
    <x v="1"/>
    <x v="1"/>
    <n v="80000"/>
    <n v="3"/>
    <x v="1"/>
    <x v="2"/>
    <x v="1"/>
    <n v="1"/>
    <x v="3"/>
    <x v="2"/>
    <n v="51"/>
    <x v="1"/>
    <x v="1"/>
  </r>
  <r>
    <n v="28815"/>
    <x v="0"/>
    <x v="0"/>
    <n v="50000"/>
    <n v="1"/>
    <x v="4"/>
    <x v="0"/>
    <x v="0"/>
    <n v="0"/>
    <x v="0"/>
    <x v="2"/>
    <n v="35"/>
    <x v="0"/>
    <x v="0"/>
  </r>
  <r>
    <n v="27753"/>
    <x v="0"/>
    <x v="1"/>
    <n v="40000"/>
    <n v="0"/>
    <x v="2"/>
    <x v="0"/>
    <x v="1"/>
    <n v="2"/>
    <x v="3"/>
    <x v="2"/>
    <n v="30"/>
    <x v="2"/>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2"/>
    <x v="0"/>
  </r>
  <r>
    <n v="18949"/>
    <x v="1"/>
    <x v="1"/>
    <n v="70000"/>
    <n v="0"/>
    <x v="4"/>
    <x v="4"/>
    <x v="0"/>
    <n v="2"/>
    <x v="2"/>
    <x v="2"/>
    <n v="74"/>
    <x v="1"/>
    <x v="1"/>
  </r>
  <r>
    <n v="14507"/>
    <x v="0"/>
    <x v="1"/>
    <n v="100000"/>
    <n v="2"/>
    <x v="4"/>
    <x v="4"/>
    <x v="0"/>
    <n v="3"/>
    <x v="3"/>
    <x v="2"/>
    <n v="65"/>
    <x v="1"/>
    <x v="0"/>
  </r>
  <r>
    <n v="25886"/>
    <x v="0"/>
    <x v="0"/>
    <n v="60000"/>
    <n v="2"/>
    <x v="1"/>
    <x v="2"/>
    <x v="0"/>
    <n v="2"/>
    <x v="1"/>
    <x v="2"/>
    <n v="56"/>
    <x v="1"/>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1"/>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2"/>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1"/>
    <x v="0"/>
  </r>
  <r>
    <n v="22252"/>
    <x v="1"/>
    <x v="0"/>
    <n v="60000"/>
    <n v="1"/>
    <x v="4"/>
    <x v="2"/>
    <x v="0"/>
    <n v="0"/>
    <x v="1"/>
    <x v="2"/>
    <n v="36"/>
    <x v="0"/>
    <x v="1"/>
  </r>
  <r>
    <n v="21260"/>
    <x v="1"/>
    <x v="0"/>
    <n v="40000"/>
    <n v="0"/>
    <x v="2"/>
    <x v="0"/>
    <x v="0"/>
    <n v="2"/>
    <x v="2"/>
    <x v="2"/>
    <n v="30"/>
    <x v="2"/>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1"/>
    <x v="0"/>
  </r>
  <r>
    <n v="23461"/>
    <x v="0"/>
    <x v="0"/>
    <n v="90000"/>
    <n v="5"/>
    <x v="1"/>
    <x v="2"/>
    <x v="0"/>
    <n v="3"/>
    <x v="1"/>
    <x v="2"/>
    <n v="40"/>
    <x v="0"/>
    <x v="0"/>
  </r>
  <r>
    <n v="29133"/>
    <x v="1"/>
    <x v="0"/>
    <n v="60000"/>
    <n v="4"/>
    <x v="0"/>
    <x v="0"/>
    <x v="1"/>
    <n v="2"/>
    <x v="0"/>
    <x v="2"/>
    <n v="42"/>
    <x v="0"/>
    <x v="0"/>
  </r>
  <r>
    <n v="27673"/>
    <x v="1"/>
    <x v="0"/>
    <n v="60000"/>
    <n v="3"/>
    <x v="4"/>
    <x v="4"/>
    <x v="0"/>
    <n v="2"/>
    <x v="2"/>
    <x v="2"/>
    <n v="53"/>
    <x v="1"/>
    <x v="1"/>
  </r>
  <r>
    <n v="12774"/>
    <x v="0"/>
    <x v="0"/>
    <n v="40000"/>
    <n v="1"/>
    <x v="1"/>
    <x v="1"/>
    <x v="0"/>
    <n v="1"/>
    <x v="3"/>
    <x v="2"/>
    <n v="51"/>
    <x v="1"/>
    <x v="1"/>
  </r>
  <r>
    <n v="18910"/>
    <x v="1"/>
    <x v="1"/>
    <n v="30000"/>
    <n v="0"/>
    <x v="1"/>
    <x v="0"/>
    <x v="0"/>
    <n v="2"/>
    <x v="2"/>
    <x v="2"/>
    <n v="30"/>
    <x v="2"/>
    <x v="0"/>
  </r>
  <r>
    <n v="11699"/>
    <x v="1"/>
    <x v="1"/>
    <n v="60000"/>
    <n v="0"/>
    <x v="0"/>
    <x v="0"/>
    <x v="1"/>
    <n v="2"/>
    <x v="0"/>
    <x v="2"/>
    <n v="30"/>
    <x v="2"/>
    <x v="0"/>
  </r>
  <r>
    <n v="16725"/>
    <x v="0"/>
    <x v="1"/>
    <n v="30000"/>
    <n v="0"/>
    <x v="2"/>
    <x v="0"/>
    <x v="0"/>
    <n v="2"/>
    <x v="2"/>
    <x v="2"/>
    <n v="26"/>
    <x v="2"/>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2"/>
    <x v="0"/>
  </r>
  <r>
    <n v="14090"/>
    <x v="0"/>
    <x v="0"/>
    <n v="30000"/>
    <n v="0"/>
    <x v="3"/>
    <x v="1"/>
    <x v="1"/>
    <n v="2"/>
    <x v="0"/>
    <x v="2"/>
    <n v="28"/>
    <x v="2"/>
    <x v="0"/>
  </r>
  <r>
    <n v="27040"/>
    <x v="0"/>
    <x v="1"/>
    <n v="20000"/>
    <n v="2"/>
    <x v="3"/>
    <x v="1"/>
    <x v="0"/>
    <n v="2"/>
    <x v="3"/>
    <x v="2"/>
    <n v="49"/>
    <x v="0"/>
    <x v="0"/>
  </r>
  <r>
    <n v="23479"/>
    <x v="1"/>
    <x v="1"/>
    <n v="90000"/>
    <n v="0"/>
    <x v="1"/>
    <x v="2"/>
    <x v="1"/>
    <n v="2"/>
    <x v="0"/>
    <x v="2"/>
    <n v="43"/>
    <x v="0"/>
    <x v="1"/>
  </r>
  <r>
    <n v="16795"/>
    <x v="0"/>
    <x v="0"/>
    <n v="70000"/>
    <n v="4"/>
    <x v="0"/>
    <x v="4"/>
    <x v="0"/>
    <n v="1"/>
    <x v="3"/>
    <x v="2"/>
    <n v="59"/>
    <x v="1"/>
    <x v="0"/>
  </r>
  <r>
    <n v="22014"/>
    <x v="1"/>
    <x v="1"/>
    <n v="30000"/>
    <n v="0"/>
    <x v="2"/>
    <x v="0"/>
    <x v="0"/>
    <n v="2"/>
    <x v="2"/>
    <x v="2"/>
    <n v="26"/>
    <x v="2"/>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1"/>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1"/>
    <x v="0"/>
  </r>
  <r>
    <n v="23358"/>
    <x v="0"/>
    <x v="1"/>
    <n v="60000"/>
    <n v="0"/>
    <x v="2"/>
    <x v="2"/>
    <x v="0"/>
    <n v="2"/>
    <x v="2"/>
    <x v="2"/>
    <n v="32"/>
    <x v="0"/>
    <x v="1"/>
  </r>
  <r>
    <n v="20518"/>
    <x v="0"/>
    <x v="0"/>
    <n v="70000"/>
    <n v="2"/>
    <x v="1"/>
    <x v="2"/>
    <x v="0"/>
    <n v="1"/>
    <x v="4"/>
    <x v="2"/>
    <n v="58"/>
    <x v="1"/>
    <x v="0"/>
  </r>
  <r>
    <n v="28026"/>
    <x v="0"/>
    <x v="0"/>
    <n v="40000"/>
    <n v="2"/>
    <x v="2"/>
    <x v="2"/>
    <x v="1"/>
    <n v="2"/>
    <x v="1"/>
    <x v="2"/>
    <n v="59"/>
    <x v="1"/>
    <x v="0"/>
  </r>
  <r>
    <n v="11669"/>
    <x v="1"/>
    <x v="0"/>
    <n v="70000"/>
    <n v="2"/>
    <x v="0"/>
    <x v="0"/>
    <x v="0"/>
    <n v="1"/>
    <x v="1"/>
    <x v="2"/>
    <n v="38"/>
    <x v="0"/>
    <x v="0"/>
  </r>
  <r>
    <n v="16020"/>
    <x v="0"/>
    <x v="1"/>
    <n v="40000"/>
    <n v="0"/>
    <x v="2"/>
    <x v="0"/>
    <x v="0"/>
    <n v="2"/>
    <x v="2"/>
    <x v="2"/>
    <n v="28"/>
    <x v="2"/>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1"/>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1"/>
    <x v="0"/>
  </r>
  <r>
    <n v="16144"/>
    <x v="0"/>
    <x v="1"/>
    <n v="70000"/>
    <n v="1"/>
    <x v="4"/>
    <x v="2"/>
    <x v="0"/>
    <n v="1"/>
    <x v="0"/>
    <x v="2"/>
    <n v="46"/>
    <x v="0"/>
    <x v="1"/>
  </r>
  <r>
    <n v="27731"/>
    <x v="0"/>
    <x v="1"/>
    <n v="40000"/>
    <n v="0"/>
    <x v="2"/>
    <x v="0"/>
    <x v="0"/>
    <n v="2"/>
    <x v="2"/>
    <x v="2"/>
    <n v="27"/>
    <x v="2"/>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2"/>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1"/>
    <x v="0"/>
  </r>
  <r>
    <n v="17657"/>
    <x v="0"/>
    <x v="1"/>
    <n v="40000"/>
    <n v="4"/>
    <x v="1"/>
    <x v="1"/>
    <x v="1"/>
    <n v="0"/>
    <x v="0"/>
    <x v="2"/>
    <n v="30"/>
    <x v="2"/>
    <x v="0"/>
  </r>
  <r>
    <n v="14913"/>
    <x v="0"/>
    <x v="0"/>
    <n v="40000"/>
    <n v="1"/>
    <x v="1"/>
    <x v="1"/>
    <x v="0"/>
    <n v="1"/>
    <x v="3"/>
    <x v="2"/>
    <n v="48"/>
    <x v="0"/>
    <x v="1"/>
  </r>
  <r>
    <n v="14077"/>
    <x v="1"/>
    <x v="1"/>
    <n v="30000"/>
    <n v="0"/>
    <x v="2"/>
    <x v="0"/>
    <x v="0"/>
    <n v="2"/>
    <x v="2"/>
    <x v="2"/>
    <n v="30"/>
    <x v="2"/>
    <x v="0"/>
  </r>
  <r>
    <n v="13296"/>
    <x v="0"/>
    <x v="1"/>
    <n v="110000"/>
    <n v="1"/>
    <x v="0"/>
    <x v="4"/>
    <x v="0"/>
    <n v="3"/>
    <x v="2"/>
    <x v="2"/>
    <n v="45"/>
    <x v="0"/>
    <x v="0"/>
  </r>
  <r>
    <n v="20535"/>
    <x v="0"/>
    <x v="0"/>
    <n v="70000"/>
    <n v="4"/>
    <x v="1"/>
    <x v="2"/>
    <x v="0"/>
    <n v="1"/>
    <x v="4"/>
    <x v="2"/>
    <n v="56"/>
    <x v="1"/>
    <x v="0"/>
  </r>
  <r>
    <n v="12452"/>
    <x v="0"/>
    <x v="1"/>
    <n v="60000"/>
    <n v="4"/>
    <x v="4"/>
    <x v="0"/>
    <x v="0"/>
    <n v="0"/>
    <x v="3"/>
    <x v="2"/>
    <n v="47"/>
    <x v="0"/>
    <x v="1"/>
  </r>
  <r>
    <n v="28043"/>
    <x v="0"/>
    <x v="0"/>
    <n v="60000"/>
    <n v="2"/>
    <x v="0"/>
    <x v="4"/>
    <x v="0"/>
    <n v="0"/>
    <x v="4"/>
    <x v="2"/>
    <n v="56"/>
    <x v="1"/>
    <x v="0"/>
  </r>
  <r>
    <n v="12957"/>
    <x v="1"/>
    <x v="0"/>
    <n v="70000"/>
    <n v="1"/>
    <x v="0"/>
    <x v="2"/>
    <x v="1"/>
    <n v="1"/>
    <x v="0"/>
    <x v="2"/>
    <n v="44"/>
    <x v="0"/>
    <x v="0"/>
  </r>
  <r>
    <n v="15412"/>
    <x v="0"/>
    <x v="1"/>
    <n v="130000"/>
    <n v="2"/>
    <x v="4"/>
    <x v="4"/>
    <x v="0"/>
    <n v="3"/>
    <x v="1"/>
    <x v="2"/>
    <n v="69"/>
    <x v="1"/>
    <x v="0"/>
  </r>
  <r>
    <n v="20514"/>
    <x v="0"/>
    <x v="0"/>
    <n v="70000"/>
    <n v="2"/>
    <x v="1"/>
    <x v="2"/>
    <x v="0"/>
    <n v="1"/>
    <x v="1"/>
    <x v="2"/>
    <n v="59"/>
    <x v="1"/>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2"/>
    <x v="0"/>
  </r>
  <r>
    <n v="23668"/>
    <x v="0"/>
    <x v="0"/>
    <n v="40000"/>
    <n v="4"/>
    <x v="2"/>
    <x v="2"/>
    <x v="0"/>
    <n v="2"/>
    <x v="2"/>
    <x v="2"/>
    <n v="59"/>
    <x v="1"/>
    <x v="1"/>
  </r>
  <r>
    <n v="27441"/>
    <x v="0"/>
    <x v="1"/>
    <n v="60000"/>
    <n v="3"/>
    <x v="2"/>
    <x v="2"/>
    <x v="1"/>
    <n v="2"/>
    <x v="1"/>
    <x v="2"/>
    <n v="53"/>
    <x v="1"/>
    <x v="0"/>
  </r>
  <r>
    <n v="27261"/>
    <x v="0"/>
    <x v="1"/>
    <n v="40000"/>
    <n v="1"/>
    <x v="0"/>
    <x v="0"/>
    <x v="1"/>
    <n v="1"/>
    <x v="0"/>
    <x v="2"/>
    <n v="36"/>
    <x v="0"/>
    <x v="1"/>
  </r>
  <r>
    <n v="18649"/>
    <x v="1"/>
    <x v="1"/>
    <n v="30000"/>
    <n v="1"/>
    <x v="2"/>
    <x v="1"/>
    <x v="0"/>
    <n v="2"/>
    <x v="3"/>
    <x v="2"/>
    <n v="51"/>
    <x v="1"/>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1"/>
    <x v="0"/>
  </r>
  <r>
    <n v="20657"/>
    <x v="1"/>
    <x v="1"/>
    <n v="50000"/>
    <n v="2"/>
    <x v="0"/>
    <x v="0"/>
    <x v="0"/>
    <n v="0"/>
    <x v="1"/>
    <x v="2"/>
    <n v="37"/>
    <x v="0"/>
    <x v="1"/>
  </r>
  <r>
    <n v="12882"/>
    <x v="0"/>
    <x v="1"/>
    <n v="50000"/>
    <n v="1"/>
    <x v="4"/>
    <x v="0"/>
    <x v="0"/>
    <n v="0"/>
    <x v="0"/>
    <x v="2"/>
    <n v="33"/>
    <x v="0"/>
    <x v="1"/>
  </r>
  <r>
    <n v="25908"/>
    <x v="0"/>
    <x v="0"/>
    <n v="60000"/>
    <n v="0"/>
    <x v="1"/>
    <x v="0"/>
    <x v="1"/>
    <n v="1"/>
    <x v="3"/>
    <x v="2"/>
    <n v="27"/>
    <x v="2"/>
    <x v="0"/>
  </r>
  <r>
    <n v="16753"/>
    <x v="1"/>
    <x v="0"/>
    <n v="70000"/>
    <n v="0"/>
    <x v="1"/>
    <x v="0"/>
    <x v="0"/>
    <n v="2"/>
    <x v="2"/>
    <x v="2"/>
    <n v="34"/>
    <x v="0"/>
    <x v="1"/>
  </r>
  <r>
    <n v="14608"/>
    <x v="0"/>
    <x v="1"/>
    <n v="50000"/>
    <n v="4"/>
    <x v="0"/>
    <x v="0"/>
    <x v="0"/>
    <n v="3"/>
    <x v="4"/>
    <x v="2"/>
    <n v="42"/>
    <x v="0"/>
    <x v="0"/>
  </r>
  <r>
    <n v="24979"/>
    <x v="0"/>
    <x v="0"/>
    <n v="60000"/>
    <n v="2"/>
    <x v="1"/>
    <x v="2"/>
    <x v="0"/>
    <n v="2"/>
    <x v="1"/>
    <x v="2"/>
    <n v="57"/>
    <x v="1"/>
    <x v="1"/>
  </r>
  <r>
    <n v="13313"/>
    <x v="0"/>
    <x v="0"/>
    <n v="120000"/>
    <n v="1"/>
    <x v="2"/>
    <x v="2"/>
    <x v="1"/>
    <n v="4"/>
    <x v="1"/>
    <x v="2"/>
    <n v="45"/>
    <x v="0"/>
    <x v="0"/>
  </r>
  <r>
    <n v="18952"/>
    <x v="0"/>
    <x v="0"/>
    <n v="100000"/>
    <n v="4"/>
    <x v="0"/>
    <x v="4"/>
    <x v="0"/>
    <n v="4"/>
    <x v="0"/>
    <x v="2"/>
    <n v="40"/>
    <x v="0"/>
    <x v="0"/>
  </r>
  <r>
    <n v="17699"/>
    <x v="0"/>
    <x v="1"/>
    <n v="60000"/>
    <n v="1"/>
    <x v="4"/>
    <x v="0"/>
    <x v="1"/>
    <n v="0"/>
    <x v="0"/>
    <x v="2"/>
    <n v="55"/>
    <x v="1"/>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1"/>
    <x v="0"/>
  </r>
  <r>
    <n v="26490"/>
    <x v="1"/>
    <x v="1"/>
    <n v="70000"/>
    <n v="2"/>
    <x v="0"/>
    <x v="4"/>
    <x v="1"/>
    <n v="1"/>
    <x v="1"/>
    <x v="2"/>
    <n v="59"/>
    <x v="1"/>
    <x v="1"/>
  </r>
  <r>
    <n v="13151"/>
    <x v="1"/>
    <x v="1"/>
    <n v="40000"/>
    <n v="0"/>
    <x v="2"/>
    <x v="0"/>
    <x v="0"/>
    <n v="2"/>
    <x v="2"/>
    <x v="2"/>
    <n v="27"/>
    <x v="2"/>
    <x v="0"/>
  </r>
  <r>
    <n v="17260"/>
    <x v="0"/>
    <x v="1"/>
    <n v="90000"/>
    <n v="5"/>
    <x v="1"/>
    <x v="2"/>
    <x v="0"/>
    <n v="3"/>
    <x v="0"/>
    <x v="2"/>
    <n v="41"/>
    <x v="0"/>
    <x v="0"/>
  </r>
  <r>
    <n v="15372"/>
    <x v="0"/>
    <x v="1"/>
    <n v="80000"/>
    <n v="3"/>
    <x v="1"/>
    <x v="2"/>
    <x v="1"/>
    <n v="2"/>
    <x v="1"/>
    <x v="2"/>
    <n v="50"/>
    <x v="0"/>
    <x v="1"/>
  </r>
  <r>
    <n v="18105"/>
    <x v="0"/>
    <x v="0"/>
    <n v="60000"/>
    <n v="2"/>
    <x v="1"/>
    <x v="2"/>
    <x v="0"/>
    <n v="1"/>
    <x v="4"/>
    <x v="2"/>
    <n v="55"/>
    <x v="1"/>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1"/>
    <x v="1"/>
  </r>
  <r>
    <n v="24496"/>
    <x v="1"/>
    <x v="0"/>
    <n v="40000"/>
    <n v="0"/>
    <x v="2"/>
    <x v="0"/>
    <x v="1"/>
    <n v="2"/>
    <x v="0"/>
    <x v="2"/>
    <n v="28"/>
    <x v="2"/>
    <x v="1"/>
  </r>
  <r>
    <n v="15468"/>
    <x v="0"/>
    <x v="0"/>
    <n v="50000"/>
    <n v="1"/>
    <x v="0"/>
    <x v="0"/>
    <x v="0"/>
    <n v="1"/>
    <x v="0"/>
    <x v="2"/>
    <n v="35"/>
    <x v="0"/>
    <x v="0"/>
  </r>
  <r>
    <n v="28031"/>
    <x v="1"/>
    <x v="0"/>
    <n v="70000"/>
    <n v="2"/>
    <x v="0"/>
    <x v="4"/>
    <x v="1"/>
    <n v="1"/>
    <x v="1"/>
    <x v="2"/>
    <n v="59"/>
    <x v="1"/>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2"/>
    <x v="1"/>
  </r>
  <r>
    <n v="23256"/>
    <x v="1"/>
    <x v="1"/>
    <n v="30000"/>
    <n v="1"/>
    <x v="2"/>
    <x v="1"/>
    <x v="1"/>
    <n v="1"/>
    <x v="2"/>
    <x v="2"/>
    <n v="52"/>
    <x v="1"/>
    <x v="0"/>
  </r>
  <r>
    <n v="12768"/>
    <x v="0"/>
    <x v="1"/>
    <n v="30000"/>
    <n v="1"/>
    <x v="2"/>
    <x v="1"/>
    <x v="0"/>
    <n v="1"/>
    <x v="1"/>
    <x v="2"/>
    <n v="52"/>
    <x v="1"/>
    <x v="1"/>
  </r>
  <r>
    <n v="20361"/>
    <x v="0"/>
    <x v="1"/>
    <n v="50000"/>
    <n v="2"/>
    <x v="4"/>
    <x v="4"/>
    <x v="0"/>
    <n v="2"/>
    <x v="2"/>
    <x v="2"/>
    <n v="69"/>
    <x v="1"/>
    <x v="0"/>
  </r>
  <r>
    <n v="21306"/>
    <x v="1"/>
    <x v="1"/>
    <n v="60000"/>
    <n v="2"/>
    <x v="2"/>
    <x v="2"/>
    <x v="0"/>
    <n v="2"/>
    <x v="2"/>
    <x v="2"/>
    <n v="51"/>
    <x v="1"/>
    <x v="0"/>
  </r>
  <r>
    <n v="13382"/>
    <x v="0"/>
    <x v="1"/>
    <n v="70000"/>
    <n v="5"/>
    <x v="1"/>
    <x v="2"/>
    <x v="0"/>
    <n v="2"/>
    <x v="3"/>
    <x v="2"/>
    <n v="57"/>
    <x v="1"/>
    <x v="1"/>
  </r>
  <r>
    <n v="20310"/>
    <x v="1"/>
    <x v="1"/>
    <n v="60000"/>
    <n v="0"/>
    <x v="1"/>
    <x v="0"/>
    <x v="0"/>
    <n v="1"/>
    <x v="2"/>
    <x v="2"/>
    <n v="27"/>
    <x v="2"/>
    <x v="1"/>
  </r>
  <r>
    <n v="22971"/>
    <x v="1"/>
    <x v="0"/>
    <n v="30000"/>
    <n v="0"/>
    <x v="2"/>
    <x v="0"/>
    <x v="1"/>
    <n v="2"/>
    <x v="0"/>
    <x v="2"/>
    <n v="25"/>
    <x v="2"/>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2"/>
    <x v="0"/>
  </r>
  <r>
    <n v="15255"/>
    <x v="0"/>
    <x v="1"/>
    <n v="40000"/>
    <n v="0"/>
    <x v="2"/>
    <x v="0"/>
    <x v="0"/>
    <n v="2"/>
    <x v="2"/>
    <x v="2"/>
    <n v="28"/>
    <x v="2"/>
    <x v="1"/>
  </r>
  <r>
    <n v="13154"/>
    <x v="0"/>
    <x v="1"/>
    <n v="40000"/>
    <n v="0"/>
    <x v="2"/>
    <x v="0"/>
    <x v="1"/>
    <n v="2"/>
    <x v="0"/>
    <x v="2"/>
    <n v="27"/>
    <x v="2"/>
    <x v="1"/>
  </r>
  <r>
    <n v="26778"/>
    <x v="1"/>
    <x v="0"/>
    <n v="40000"/>
    <n v="0"/>
    <x v="2"/>
    <x v="0"/>
    <x v="0"/>
    <n v="2"/>
    <x v="2"/>
    <x v="2"/>
    <n v="31"/>
    <x v="0"/>
    <x v="0"/>
  </r>
  <r>
    <n v="23248"/>
    <x v="0"/>
    <x v="0"/>
    <n v="10000"/>
    <n v="2"/>
    <x v="2"/>
    <x v="3"/>
    <x v="0"/>
    <n v="2"/>
    <x v="3"/>
    <x v="2"/>
    <n v="53"/>
    <x v="1"/>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1"/>
    <x v="1"/>
  </r>
  <r>
    <n v="25954"/>
    <x v="0"/>
    <x v="1"/>
    <n v="60000"/>
    <n v="0"/>
    <x v="1"/>
    <x v="0"/>
    <x v="1"/>
    <n v="2"/>
    <x v="3"/>
    <x v="2"/>
    <n v="31"/>
    <x v="0"/>
    <x v="0"/>
  </r>
  <r>
    <n v="15749"/>
    <x v="1"/>
    <x v="0"/>
    <n v="70000"/>
    <n v="4"/>
    <x v="0"/>
    <x v="4"/>
    <x v="0"/>
    <n v="2"/>
    <x v="4"/>
    <x v="2"/>
    <n v="61"/>
    <x v="1"/>
    <x v="0"/>
  </r>
  <r>
    <n v="25899"/>
    <x v="0"/>
    <x v="0"/>
    <n v="70000"/>
    <n v="2"/>
    <x v="2"/>
    <x v="2"/>
    <x v="0"/>
    <n v="2"/>
    <x v="4"/>
    <x v="2"/>
    <n v="53"/>
    <x v="1"/>
    <x v="0"/>
  </r>
  <r>
    <n v="13351"/>
    <x v="1"/>
    <x v="0"/>
    <n v="70000"/>
    <n v="4"/>
    <x v="0"/>
    <x v="4"/>
    <x v="0"/>
    <n v="2"/>
    <x v="3"/>
    <x v="2"/>
    <n v="62"/>
    <x v="1"/>
    <x v="1"/>
  </r>
  <r>
    <n v="23333"/>
    <x v="0"/>
    <x v="1"/>
    <n v="40000"/>
    <n v="0"/>
    <x v="1"/>
    <x v="0"/>
    <x v="1"/>
    <n v="2"/>
    <x v="3"/>
    <x v="2"/>
    <n v="30"/>
    <x v="2"/>
    <x v="0"/>
  </r>
  <r>
    <n v="21660"/>
    <x v="0"/>
    <x v="0"/>
    <n v="60000"/>
    <n v="3"/>
    <x v="4"/>
    <x v="2"/>
    <x v="0"/>
    <n v="0"/>
    <x v="1"/>
    <x v="2"/>
    <n v="43"/>
    <x v="0"/>
    <x v="1"/>
  </r>
  <r>
    <n v="17012"/>
    <x v="0"/>
    <x v="0"/>
    <n v="60000"/>
    <n v="3"/>
    <x v="4"/>
    <x v="2"/>
    <x v="0"/>
    <n v="0"/>
    <x v="1"/>
    <x v="2"/>
    <n v="42"/>
    <x v="0"/>
    <x v="1"/>
  </r>
  <r>
    <n v="24514"/>
    <x v="0"/>
    <x v="1"/>
    <n v="40000"/>
    <n v="0"/>
    <x v="1"/>
    <x v="0"/>
    <x v="0"/>
    <n v="1"/>
    <x v="2"/>
    <x v="2"/>
    <n v="30"/>
    <x v="2"/>
    <x v="0"/>
  </r>
  <r>
    <n v="27505"/>
    <x v="1"/>
    <x v="0"/>
    <n v="40000"/>
    <n v="0"/>
    <x v="2"/>
    <x v="0"/>
    <x v="0"/>
    <n v="2"/>
    <x v="2"/>
    <x v="2"/>
    <n v="30"/>
    <x v="2"/>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1"/>
    <x v="1"/>
  </r>
  <r>
    <n v="15501"/>
    <x v="0"/>
    <x v="1"/>
    <n v="70000"/>
    <n v="4"/>
    <x v="4"/>
    <x v="2"/>
    <x v="0"/>
    <n v="0"/>
    <x v="1"/>
    <x v="2"/>
    <n v="36"/>
    <x v="0"/>
    <x v="1"/>
  </r>
  <r>
    <n v="13911"/>
    <x v="1"/>
    <x v="0"/>
    <n v="80000"/>
    <n v="3"/>
    <x v="0"/>
    <x v="0"/>
    <x v="0"/>
    <n v="2"/>
    <x v="1"/>
    <x v="2"/>
    <n v="41"/>
    <x v="0"/>
    <x v="1"/>
  </r>
  <r>
    <n v="20421"/>
    <x v="1"/>
    <x v="0"/>
    <n v="40000"/>
    <n v="0"/>
    <x v="3"/>
    <x v="1"/>
    <x v="0"/>
    <n v="2"/>
    <x v="2"/>
    <x v="2"/>
    <n v="26"/>
    <x v="2"/>
    <x v="0"/>
  </r>
  <r>
    <n v="16009"/>
    <x v="1"/>
    <x v="1"/>
    <n v="170000"/>
    <n v="1"/>
    <x v="4"/>
    <x v="4"/>
    <x v="1"/>
    <n v="4"/>
    <x v="0"/>
    <x v="2"/>
    <n v="66"/>
    <x v="1"/>
    <x v="0"/>
  </r>
  <r>
    <n v="18411"/>
    <x v="0"/>
    <x v="1"/>
    <n v="60000"/>
    <n v="2"/>
    <x v="2"/>
    <x v="2"/>
    <x v="1"/>
    <n v="2"/>
    <x v="2"/>
    <x v="2"/>
    <n v="51"/>
    <x v="1"/>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1"/>
    <x v="1"/>
  </r>
  <r>
    <n v="12922"/>
    <x v="1"/>
    <x v="0"/>
    <n v="60000"/>
    <n v="3"/>
    <x v="0"/>
    <x v="0"/>
    <x v="0"/>
    <n v="0"/>
    <x v="1"/>
    <x v="2"/>
    <n v="40"/>
    <x v="0"/>
    <x v="1"/>
  </r>
  <r>
    <n v="18891"/>
    <x v="0"/>
    <x v="0"/>
    <n v="40000"/>
    <n v="0"/>
    <x v="1"/>
    <x v="0"/>
    <x v="0"/>
    <n v="2"/>
    <x v="2"/>
    <x v="2"/>
    <n v="28"/>
    <x v="2"/>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1"/>
    <x v="0"/>
  </r>
  <r>
    <n v="12056"/>
    <x v="0"/>
    <x v="1"/>
    <n v="120000"/>
    <n v="2"/>
    <x v="4"/>
    <x v="4"/>
    <x v="0"/>
    <n v="3"/>
    <x v="2"/>
    <x v="2"/>
    <n v="64"/>
    <x v="1"/>
    <x v="0"/>
  </r>
  <r>
    <n v="15555"/>
    <x v="0"/>
    <x v="0"/>
    <n v="60000"/>
    <n v="1"/>
    <x v="1"/>
    <x v="0"/>
    <x v="0"/>
    <n v="1"/>
    <x v="1"/>
    <x v="2"/>
    <n v="45"/>
    <x v="0"/>
    <x v="1"/>
  </r>
  <r>
    <n v="18423"/>
    <x v="1"/>
    <x v="1"/>
    <n v="80000"/>
    <n v="2"/>
    <x v="3"/>
    <x v="0"/>
    <x v="1"/>
    <n v="2"/>
    <x v="3"/>
    <x v="2"/>
    <n v="52"/>
    <x v="1"/>
    <x v="0"/>
  </r>
  <r>
    <n v="22743"/>
    <x v="0"/>
    <x v="0"/>
    <n v="40000"/>
    <n v="5"/>
    <x v="2"/>
    <x v="2"/>
    <x v="0"/>
    <n v="2"/>
    <x v="4"/>
    <x v="2"/>
    <n v="60"/>
    <x v="1"/>
    <x v="0"/>
  </r>
  <r>
    <n v="25343"/>
    <x v="1"/>
    <x v="0"/>
    <n v="20000"/>
    <n v="3"/>
    <x v="3"/>
    <x v="1"/>
    <x v="0"/>
    <n v="2"/>
    <x v="3"/>
    <x v="2"/>
    <n v="50"/>
    <x v="0"/>
    <x v="0"/>
  </r>
  <r>
    <n v="13390"/>
    <x v="0"/>
    <x v="0"/>
    <n v="70000"/>
    <n v="4"/>
    <x v="1"/>
    <x v="2"/>
    <x v="1"/>
    <n v="1"/>
    <x v="3"/>
    <x v="2"/>
    <n v="56"/>
    <x v="1"/>
    <x v="0"/>
  </r>
  <r>
    <n v="17482"/>
    <x v="1"/>
    <x v="0"/>
    <n v="40000"/>
    <n v="0"/>
    <x v="3"/>
    <x v="1"/>
    <x v="0"/>
    <n v="2"/>
    <x v="2"/>
    <x v="2"/>
    <n v="29"/>
    <x v="2"/>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2"/>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1"/>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1"/>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1"/>
    <x v="0"/>
  </r>
  <r>
    <n v="22118"/>
    <x v="1"/>
    <x v="0"/>
    <n v="70000"/>
    <n v="3"/>
    <x v="4"/>
    <x v="4"/>
    <x v="0"/>
    <n v="2"/>
    <x v="2"/>
    <x v="2"/>
    <n v="53"/>
    <x v="1"/>
    <x v="1"/>
  </r>
  <r>
    <n v="23197"/>
    <x v="0"/>
    <x v="1"/>
    <n v="50000"/>
    <n v="3"/>
    <x v="0"/>
    <x v="0"/>
    <x v="0"/>
    <n v="2"/>
    <x v="1"/>
    <x v="2"/>
    <n v="40"/>
    <x v="0"/>
    <x v="0"/>
  </r>
  <r>
    <n v="14883"/>
    <x v="0"/>
    <x v="0"/>
    <n v="30000"/>
    <n v="1"/>
    <x v="0"/>
    <x v="0"/>
    <x v="0"/>
    <n v="1"/>
    <x v="2"/>
    <x v="2"/>
    <n v="53"/>
    <x v="1"/>
    <x v="1"/>
  </r>
  <r>
    <n v="27279"/>
    <x v="1"/>
    <x v="0"/>
    <n v="70000"/>
    <n v="2"/>
    <x v="0"/>
    <x v="0"/>
    <x v="0"/>
    <n v="0"/>
    <x v="1"/>
    <x v="2"/>
    <n v="38"/>
    <x v="0"/>
    <x v="1"/>
  </r>
  <r>
    <n v="18322"/>
    <x v="1"/>
    <x v="1"/>
    <n v="30000"/>
    <n v="0"/>
    <x v="3"/>
    <x v="1"/>
    <x v="1"/>
    <n v="2"/>
    <x v="0"/>
    <x v="2"/>
    <n v="26"/>
    <x v="2"/>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2"/>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1"/>
    <x v="0"/>
  </r>
  <r>
    <n v="12153"/>
    <x v="1"/>
    <x v="0"/>
    <n v="70000"/>
    <n v="3"/>
    <x v="1"/>
    <x v="2"/>
    <x v="0"/>
    <n v="1"/>
    <x v="2"/>
    <x v="2"/>
    <n v="49"/>
    <x v="0"/>
    <x v="1"/>
  </r>
  <r>
    <n v="16895"/>
    <x v="0"/>
    <x v="0"/>
    <n v="40000"/>
    <n v="3"/>
    <x v="1"/>
    <x v="2"/>
    <x v="1"/>
    <n v="2"/>
    <x v="3"/>
    <x v="2"/>
    <n v="54"/>
    <x v="1"/>
    <x v="1"/>
  </r>
  <r>
    <n v="26728"/>
    <x v="1"/>
    <x v="1"/>
    <n v="70000"/>
    <n v="3"/>
    <x v="4"/>
    <x v="4"/>
    <x v="1"/>
    <n v="2"/>
    <x v="3"/>
    <x v="2"/>
    <n v="53"/>
    <x v="1"/>
    <x v="1"/>
  </r>
  <r>
    <n v="11090"/>
    <x v="1"/>
    <x v="1"/>
    <n v="90000"/>
    <n v="2"/>
    <x v="1"/>
    <x v="2"/>
    <x v="0"/>
    <n v="1"/>
    <x v="1"/>
    <x v="2"/>
    <n v="48"/>
    <x v="0"/>
    <x v="1"/>
  </r>
  <r>
    <n v="15862"/>
    <x v="1"/>
    <x v="0"/>
    <n v="50000"/>
    <n v="0"/>
    <x v="4"/>
    <x v="0"/>
    <x v="0"/>
    <n v="0"/>
    <x v="3"/>
    <x v="2"/>
    <n v="33"/>
    <x v="0"/>
    <x v="1"/>
  </r>
  <r>
    <n v="26495"/>
    <x v="1"/>
    <x v="0"/>
    <n v="40000"/>
    <n v="2"/>
    <x v="2"/>
    <x v="2"/>
    <x v="0"/>
    <n v="2"/>
    <x v="4"/>
    <x v="2"/>
    <n v="57"/>
    <x v="1"/>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2"/>
    <x v="1"/>
  </r>
  <r>
    <n v="11941"/>
    <x v="1"/>
    <x v="1"/>
    <n v="60000"/>
    <n v="0"/>
    <x v="1"/>
    <x v="0"/>
    <x v="0"/>
    <n v="0"/>
    <x v="2"/>
    <x v="2"/>
    <n v="29"/>
    <x v="2"/>
    <x v="0"/>
  </r>
  <r>
    <n v="14389"/>
    <x v="0"/>
    <x v="1"/>
    <n v="60000"/>
    <n v="2"/>
    <x v="0"/>
    <x v="4"/>
    <x v="0"/>
    <n v="0"/>
    <x v="1"/>
    <x v="2"/>
    <n v="59"/>
    <x v="1"/>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2"/>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1"/>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1"/>
    <x v="0"/>
  </r>
  <r>
    <n v="11788"/>
    <x v="1"/>
    <x v="0"/>
    <n v="70000"/>
    <n v="1"/>
    <x v="4"/>
    <x v="2"/>
    <x v="0"/>
    <n v="0"/>
    <x v="1"/>
    <x v="2"/>
    <n v="34"/>
    <x v="0"/>
    <x v="0"/>
  </r>
  <r>
    <n v="22296"/>
    <x v="0"/>
    <x v="1"/>
    <n v="70000"/>
    <n v="0"/>
    <x v="0"/>
    <x v="2"/>
    <x v="1"/>
    <n v="1"/>
    <x v="0"/>
    <x v="2"/>
    <n v="38"/>
    <x v="0"/>
    <x v="0"/>
  </r>
  <r>
    <n v="15319"/>
    <x v="0"/>
    <x v="0"/>
    <n v="70000"/>
    <n v="4"/>
    <x v="0"/>
    <x v="4"/>
    <x v="1"/>
    <n v="1"/>
    <x v="3"/>
    <x v="2"/>
    <n v="59"/>
    <x v="1"/>
    <x v="0"/>
  </r>
  <r>
    <n v="17654"/>
    <x v="1"/>
    <x v="0"/>
    <n v="40000"/>
    <n v="3"/>
    <x v="1"/>
    <x v="1"/>
    <x v="0"/>
    <n v="1"/>
    <x v="3"/>
    <x v="2"/>
    <n v="30"/>
    <x v="2"/>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2"/>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1"/>
    <x v="0"/>
  </r>
  <r>
    <n v="16007"/>
    <x v="0"/>
    <x v="0"/>
    <n v="90000"/>
    <n v="5"/>
    <x v="0"/>
    <x v="4"/>
    <x v="0"/>
    <n v="2"/>
    <x v="3"/>
    <x v="2"/>
    <n v="66"/>
    <x v="1"/>
    <x v="1"/>
  </r>
  <r>
    <n v="27434"/>
    <x v="1"/>
    <x v="1"/>
    <n v="70000"/>
    <n v="4"/>
    <x v="1"/>
    <x v="2"/>
    <x v="0"/>
    <n v="1"/>
    <x v="4"/>
    <x v="2"/>
    <n v="56"/>
    <x v="1"/>
    <x v="0"/>
  </r>
  <r>
    <n v="27756"/>
    <x v="1"/>
    <x v="0"/>
    <n v="50000"/>
    <n v="3"/>
    <x v="0"/>
    <x v="0"/>
    <x v="1"/>
    <n v="1"/>
    <x v="0"/>
    <x v="2"/>
    <n v="40"/>
    <x v="0"/>
    <x v="0"/>
  </r>
  <r>
    <n v="23818"/>
    <x v="0"/>
    <x v="0"/>
    <n v="50000"/>
    <n v="0"/>
    <x v="4"/>
    <x v="0"/>
    <x v="0"/>
    <n v="0"/>
    <x v="3"/>
    <x v="2"/>
    <n v="33"/>
    <x v="0"/>
    <x v="1"/>
  </r>
  <r>
    <n v="19012"/>
    <x v="0"/>
    <x v="1"/>
    <n v="80000"/>
    <n v="3"/>
    <x v="0"/>
    <x v="4"/>
    <x v="0"/>
    <n v="1"/>
    <x v="3"/>
    <x v="2"/>
    <n v="56"/>
    <x v="1"/>
    <x v="0"/>
  </r>
  <r>
    <n v="18329"/>
    <x v="1"/>
    <x v="1"/>
    <n v="30000"/>
    <n v="0"/>
    <x v="3"/>
    <x v="1"/>
    <x v="1"/>
    <n v="2"/>
    <x v="2"/>
    <x v="2"/>
    <n v="27"/>
    <x v="2"/>
    <x v="0"/>
  </r>
  <r>
    <n v="29037"/>
    <x v="0"/>
    <x v="1"/>
    <n v="60000"/>
    <n v="0"/>
    <x v="4"/>
    <x v="2"/>
    <x v="1"/>
    <n v="0"/>
    <x v="0"/>
    <x v="2"/>
    <n v="39"/>
    <x v="0"/>
    <x v="0"/>
  </r>
  <r>
    <n v="26576"/>
    <x v="0"/>
    <x v="0"/>
    <n v="60000"/>
    <n v="0"/>
    <x v="1"/>
    <x v="0"/>
    <x v="0"/>
    <n v="2"/>
    <x v="2"/>
    <x v="2"/>
    <n v="31"/>
    <x v="0"/>
    <x v="0"/>
  </r>
  <r>
    <n v="12192"/>
    <x v="1"/>
    <x v="0"/>
    <n v="60000"/>
    <n v="2"/>
    <x v="3"/>
    <x v="0"/>
    <x v="1"/>
    <n v="2"/>
    <x v="3"/>
    <x v="2"/>
    <n v="51"/>
    <x v="1"/>
    <x v="0"/>
  </r>
  <r>
    <n v="14887"/>
    <x v="0"/>
    <x v="0"/>
    <n v="30000"/>
    <n v="1"/>
    <x v="2"/>
    <x v="1"/>
    <x v="0"/>
    <n v="1"/>
    <x v="2"/>
    <x v="2"/>
    <n v="52"/>
    <x v="1"/>
    <x v="0"/>
  </r>
  <r>
    <n v="11734"/>
    <x v="0"/>
    <x v="1"/>
    <n v="60000"/>
    <n v="1"/>
    <x v="1"/>
    <x v="0"/>
    <x v="1"/>
    <n v="1"/>
    <x v="0"/>
    <x v="2"/>
    <n v="47"/>
    <x v="0"/>
    <x v="0"/>
  </r>
  <r>
    <n v="17462"/>
    <x v="0"/>
    <x v="1"/>
    <n v="70000"/>
    <n v="3"/>
    <x v="4"/>
    <x v="4"/>
    <x v="0"/>
    <n v="2"/>
    <x v="2"/>
    <x v="2"/>
    <n v="53"/>
    <x v="1"/>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2"/>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1"/>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1"/>
    <x v="1"/>
  </r>
  <r>
    <n v="13507"/>
    <x v="0"/>
    <x v="0"/>
    <n v="10000"/>
    <n v="2"/>
    <x v="1"/>
    <x v="3"/>
    <x v="0"/>
    <n v="0"/>
    <x v="3"/>
    <x v="0"/>
    <n v="50"/>
    <x v="0"/>
    <x v="0"/>
  </r>
  <r>
    <n v="19280"/>
    <x v="0"/>
    <x v="1"/>
    <n v="120000"/>
    <n v="2"/>
    <x v="1"/>
    <x v="3"/>
    <x v="0"/>
    <n v="1"/>
    <x v="0"/>
    <x v="0"/>
    <n v="40"/>
    <x v="0"/>
    <x v="1"/>
  </r>
  <r>
    <n v="22173"/>
    <x v="0"/>
    <x v="0"/>
    <n v="30000"/>
    <n v="3"/>
    <x v="2"/>
    <x v="0"/>
    <x v="1"/>
    <n v="2"/>
    <x v="3"/>
    <x v="1"/>
    <n v="54"/>
    <x v="1"/>
    <x v="1"/>
  </r>
  <r>
    <n v="12697"/>
    <x v="1"/>
    <x v="0"/>
    <n v="90000"/>
    <n v="0"/>
    <x v="0"/>
    <x v="2"/>
    <x v="1"/>
    <n v="4"/>
    <x v="4"/>
    <x v="1"/>
    <n v="36"/>
    <x v="0"/>
    <x v="0"/>
  </r>
  <r>
    <n v="11434"/>
    <x v="0"/>
    <x v="1"/>
    <n v="170000"/>
    <n v="5"/>
    <x v="1"/>
    <x v="2"/>
    <x v="0"/>
    <n v="0"/>
    <x v="0"/>
    <x v="0"/>
    <n v="55"/>
    <x v="1"/>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1"/>
    <x v="1"/>
  </r>
  <r>
    <n v="12610"/>
    <x v="0"/>
    <x v="0"/>
    <n v="30000"/>
    <n v="1"/>
    <x v="0"/>
    <x v="1"/>
    <x v="0"/>
    <n v="0"/>
    <x v="0"/>
    <x v="0"/>
    <n v="47"/>
    <x v="0"/>
    <x v="0"/>
  </r>
  <r>
    <n v="27183"/>
    <x v="1"/>
    <x v="1"/>
    <n v="40000"/>
    <n v="2"/>
    <x v="1"/>
    <x v="1"/>
    <x v="0"/>
    <n v="1"/>
    <x v="3"/>
    <x v="0"/>
    <n v="35"/>
    <x v="0"/>
    <x v="1"/>
  </r>
  <r>
    <n v="25940"/>
    <x v="1"/>
    <x v="1"/>
    <n v="20000"/>
    <n v="2"/>
    <x v="3"/>
    <x v="1"/>
    <x v="0"/>
    <n v="2"/>
    <x v="2"/>
    <x v="1"/>
    <n v="55"/>
    <x v="1"/>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1"/>
    <x v="0"/>
  </r>
  <r>
    <n v="27184"/>
    <x v="1"/>
    <x v="1"/>
    <n v="40000"/>
    <n v="2"/>
    <x v="1"/>
    <x v="1"/>
    <x v="1"/>
    <n v="1"/>
    <x v="0"/>
    <x v="0"/>
    <n v="34"/>
    <x v="0"/>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2"/>
    <x v="1"/>
  </r>
  <r>
    <n v="20942"/>
    <x v="1"/>
    <x v="0"/>
    <n v="20000"/>
    <n v="0"/>
    <x v="2"/>
    <x v="3"/>
    <x v="1"/>
    <n v="1"/>
    <x v="2"/>
    <x v="0"/>
    <n v="31"/>
    <x v="0"/>
    <x v="0"/>
  </r>
  <r>
    <n v="18484"/>
    <x v="1"/>
    <x v="1"/>
    <n v="80000"/>
    <n v="2"/>
    <x v="2"/>
    <x v="0"/>
    <x v="1"/>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A79F5F-BA41-40D2-B0D8-454E29F953F9}"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9:C63"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h="1" x="4"/>
        <item h="1" x="2"/>
        <item h="1" x="1"/>
        <item x="3"/>
        <item t="default"/>
      </items>
    </pivotField>
    <pivotField showAll="0">
      <items count="6">
        <item x="1"/>
        <item h="1" x="4"/>
        <item h="1" x="3"/>
        <item h="1" x="2"/>
        <item h="1" x="0"/>
        <item t="default"/>
      </items>
    </pivotField>
    <pivotField axis="axisRow" showAll="0">
      <items count="3">
        <item x="0"/>
        <item x="1"/>
        <item t="default"/>
      </items>
    </pivotField>
    <pivotField showAll="0"/>
    <pivotField showAll="0"/>
    <pivotField showAll="0">
      <items count="4">
        <item h="1" x="0"/>
        <item x="2"/>
        <item h="1" x="1"/>
        <item t="default"/>
      </items>
    </pivotField>
    <pivotField showAll="0"/>
    <pivotField showAll="0"/>
    <pivotField axis="axisCol" dataField="1" showAll="0">
      <items count="3">
        <item x="1"/>
        <item x="0"/>
        <item t="default"/>
      </items>
    </pivotField>
  </pivotFields>
  <rowFields count="1">
    <field x="7"/>
  </rowFields>
  <rowItems count="3">
    <i>
      <x/>
    </i>
    <i>
      <x v="1"/>
    </i>
    <i t="grand">
      <x/>
    </i>
  </rowItems>
  <colFields count="1">
    <field x="13"/>
  </colFields>
  <colItems count="2">
    <i>
      <x v="1"/>
    </i>
    <i t="grand">
      <x/>
    </i>
  </colItems>
  <dataFields count="1">
    <dataField name="Count of Purchased Bike" fld="13" subtotal="count" baseField="7"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FF933-89C1-4A27-9AD9-6DFBE437775D}"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3:C48"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h="1" x="4"/>
        <item h="1" x="2"/>
        <item h="1" x="1"/>
        <item x="3"/>
        <item t="default"/>
      </items>
    </pivotField>
    <pivotField showAll="0">
      <items count="6">
        <item x="1"/>
        <item h="1" x="4"/>
        <item h="1" x="3"/>
        <item h="1" x="2"/>
        <item h="1" x="0"/>
        <item t="default"/>
      </items>
    </pivotField>
    <pivotField showAll="0"/>
    <pivotField showAll="0"/>
    <pivotField showAll="0"/>
    <pivotField showAll="0">
      <items count="4">
        <item h="1" x="0"/>
        <item x="2"/>
        <item h="1" x="1"/>
        <item t="default"/>
      </items>
    </pivotField>
    <pivotField showAll="0"/>
    <pivotField axis="axisRow" showAll="0">
      <items count="4">
        <item x="0"/>
        <item x="1"/>
        <item x="2"/>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F7DC5-BA92-4A2D-AE7B-24868FEA9C34}"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4:C28"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h="1" x="4"/>
        <item h="1" x="2"/>
        <item h="1" x="1"/>
        <item x="3"/>
        <item t="default"/>
      </items>
    </pivotField>
    <pivotField showAll="0">
      <items count="6">
        <item x="1"/>
        <item h="1" x="4"/>
        <item h="1" x="3"/>
        <item h="1" x="2"/>
        <item h="1" x="0"/>
        <item t="default"/>
      </items>
    </pivotField>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1"/>
        <item x="0"/>
        <item t="default"/>
      </items>
    </pivotField>
  </pivotFields>
  <rowFields count="1">
    <field x="9"/>
  </rowFields>
  <rowItems count="3">
    <i>
      <x/>
    </i>
    <i>
      <x v="2"/>
    </i>
    <i t="grand">
      <x/>
    </i>
  </rowItems>
  <colFields count="1">
    <field x="13"/>
  </colFields>
  <colItems count="2">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28ECB-64D2-4E1B-88A7-8BE93E8D0587}"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C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8" showAll="0"/>
    <pivotField showAll="0"/>
    <pivotField showAll="0">
      <items count="6">
        <item h="1" x="0"/>
        <item h="1" x="4"/>
        <item h="1" x="2"/>
        <item h="1" x="1"/>
        <item x="3"/>
        <item t="default"/>
      </items>
    </pivotField>
    <pivotField showAll="0">
      <items count="6">
        <item x="1"/>
        <item h="1" x="4"/>
        <item h="1" x="3"/>
        <item h="1" x="2"/>
        <item h="1"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2">
    <i>
      <x v="1"/>
    </i>
    <i t="grand">
      <x/>
    </i>
  </colItems>
  <dataFields count="1">
    <dataField name="Average of Income" fld="3" subtotal="average" baseField="2" baseItem="0" numFmtId="168"/>
  </dataFields>
  <formats count="1">
    <format dxfId="37">
      <pivotArea outline="0" collapsedLevelsAreSubtotals="1" fieldPosition="0"/>
    </format>
  </format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AE168409-D29B-4395-BF05-0A06F41692BB}" sourceName="Marriedarital Singletatus">
  <pivotTables>
    <pivotTable tabId="2" name="PivotTable1"/>
    <pivotTable tabId="2" name="PivotTable2"/>
    <pivotTable tabId="2" name="PivotTable3"/>
    <pivotTable tabId="2" name="PivotTable4"/>
  </pivotTables>
  <data>
    <tabular pivotCacheId="121748444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67A3B8B-EB9A-452F-AC4B-89013DB5D378}" sourceName="Education">
  <pivotTables>
    <pivotTable tabId="2" name="PivotTable1"/>
    <pivotTable tabId="2" name="PivotTable2"/>
    <pivotTable tabId="2" name="PivotTable3"/>
    <pivotTable tabId="2" name="PivotTable4"/>
  </pivotTables>
  <data>
    <tabular pivotCacheId="1217484449">
      <items count="5">
        <i x="2"/>
        <i x="1"/>
        <i x="3" s="1"/>
        <i x="0"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CD4B455-F552-45B5-9AE0-35C6E5C79CC5}" sourceName="Occupation">
  <pivotTables>
    <pivotTable tabId="2" name="PivotTable1"/>
    <pivotTable tabId="2" name="PivotTable2"/>
    <pivotTable tabId="2" name="PivotTable3"/>
    <pivotTable tabId="2" name="PivotTable4"/>
  </pivotTables>
  <data>
    <tabular pivotCacheId="1217484449">
      <items count="5">
        <i x="1" s="1"/>
        <i x="0"/>
        <i x="4" nd="1"/>
        <i x="3"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6478A5-9E7B-448A-A61A-2F884E03E29B}" sourceName="Region">
  <pivotTables>
    <pivotTable tabId="2" name="PivotTable1"/>
    <pivotTable tabId="2" name="PivotTable2"/>
    <pivotTable tabId="2" name="PivotTable3"/>
    <pivotTable tabId="2" name="PivotTable4"/>
  </pivotTables>
  <data>
    <tabular pivotCacheId="1217484449">
      <items count="3">
        <i x="2" s="1"/>
        <i x="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592467D-3D59-4546-BBAA-AE054A03ED2B}" cache="Slicer_Marriedarital_Singletatus" caption="Marital Status" rowHeight="241300"/>
  <slicer name="Education" xr10:uid="{A790DDC2-24F8-4BB6-A200-1A1D02AFB0C5}" cache="Slicer_Education" caption="Education" startItem="3" rowHeight="241300"/>
  <slicer name="Occupation" xr10:uid="{36B52D43-3AC1-42C9-88E9-9FB668D0BCBD}" cache="Slicer_Occupation" caption="Occupation" rowHeight="241300"/>
  <slicer name="Region" xr10:uid="{B970C1B7-9C9D-4C40-AF14-DCFB862F8FF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BB81-7751-40CE-9681-567A83FC20AF}">
  <dimension ref="A4:C63"/>
  <sheetViews>
    <sheetView topLeftCell="A34" workbookViewId="0">
      <selection activeCell="B60" sqref="B60"/>
    </sheetView>
  </sheetViews>
  <sheetFormatPr defaultRowHeight="15" x14ac:dyDescent="0.25"/>
  <cols>
    <col min="1" max="1" width="22.85546875" bestFit="1" customWidth="1"/>
    <col min="2" max="2" width="16.28515625" bestFit="1" customWidth="1"/>
    <col min="3" max="4" width="11.28515625" bestFit="1" customWidth="1"/>
  </cols>
  <sheetData>
    <row r="4" spans="1:3" x14ac:dyDescent="0.25">
      <c r="A4" s="5" t="s">
        <v>44</v>
      </c>
      <c r="B4" s="5" t="s">
        <v>45</v>
      </c>
    </row>
    <row r="5" spans="1:3" x14ac:dyDescent="0.25">
      <c r="A5" s="5" t="s">
        <v>42</v>
      </c>
      <c r="B5" t="s">
        <v>18</v>
      </c>
      <c r="C5" t="s">
        <v>43</v>
      </c>
    </row>
    <row r="6" spans="1:3" x14ac:dyDescent="0.25">
      <c r="A6" s="6" t="s">
        <v>39</v>
      </c>
      <c r="B6" s="3">
        <v>23333.333333333332</v>
      </c>
      <c r="C6" s="3">
        <v>23333.333333333332</v>
      </c>
    </row>
    <row r="7" spans="1:3" x14ac:dyDescent="0.25">
      <c r="A7" s="6" t="s">
        <v>40</v>
      </c>
      <c r="B7" s="3">
        <v>23333.333333333332</v>
      </c>
      <c r="C7" s="3">
        <v>23333.333333333332</v>
      </c>
    </row>
    <row r="8" spans="1:3" x14ac:dyDescent="0.25">
      <c r="A8" s="6" t="s">
        <v>43</v>
      </c>
      <c r="B8" s="3">
        <v>23333.333333333332</v>
      </c>
      <c r="C8" s="3">
        <v>23333.333333333332</v>
      </c>
    </row>
    <row r="24" spans="1:3" x14ac:dyDescent="0.25">
      <c r="A24" s="5" t="s">
        <v>46</v>
      </c>
      <c r="B24" s="5" t="s">
        <v>45</v>
      </c>
    </row>
    <row r="25" spans="1:3" x14ac:dyDescent="0.25">
      <c r="A25" s="5" t="s">
        <v>42</v>
      </c>
      <c r="B25" t="s">
        <v>18</v>
      </c>
      <c r="C25" t="s">
        <v>43</v>
      </c>
    </row>
    <row r="26" spans="1:3" x14ac:dyDescent="0.25">
      <c r="A26" s="6" t="s">
        <v>16</v>
      </c>
      <c r="B26" s="4">
        <v>5</v>
      </c>
      <c r="C26" s="4">
        <v>5</v>
      </c>
    </row>
    <row r="27" spans="1:3" x14ac:dyDescent="0.25">
      <c r="A27" s="6" t="s">
        <v>26</v>
      </c>
      <c r="B27" s="4">
        <v>1</v>
      </c>
      <c r="C27" s="4">
        <v>1</v>
      </c>
    </row>
    <row r="28" spans="1:3" x14ac:dyDescent="0.25">
      <c r="A28" s="6" t="s">
        <v>43</v>
      </c>
      <c r="B28" s="4">
        <v>6</v>
      </c>
      <c r="C28" s="4">
        <v>6</v>
      </c>
    </row>
    <row r="43" spans="1:3" x14ac:dyDescent="0.25">
      <c r="A43" s="5" t="s">
        <v>46</v>
      </c>
      <c r="B43" s="5" t="s">
        <v>45</v>
      </c>
    </row>
    <row r="44" spans="1:3" x14ac:dyDescent="0.25">
      <c r="A44" s="5" t="s">
        <v>42</v>
      </c>
      <c r="B44" t="s">
        <v>18</v>
      </c>
      <c r="C44" t="s">
        <v>43</v>
      </c>
    </row>
    <row r="45" spans="1:3" x14ac:dyDescent="0.25">
      <c r="A45" s="6" t="s">
        <v>47</v>
      </c>
      <c r="B45" s="4">
        <v>3</v>
      </c>
      <c r="C45" s="4">
        <v>3</v>
      </c>
    </row>
    <row r="46" spans="1:3" x14ac:dyDescent="0.25">
      <c r="A46" s="6" t="s">
        <v>48</v>
      </c>
      <c r="B46" s="4">
        <v>1</v>
      </c>
      <c r="C46" s="4">
        <v>1</v>
      </c>
    </row>
    <row r="47" spans="1:3" x14ac:dyDescent="0.25">
      <c r="A47" s="6" t="s">
        <v>49</v>
      </c>
      <c r="B47" s="4">
        <v>2</v>
      </c>
      <c r="C47" s="4">
        <v>2</v>
      </c>
    </row>
    <row r="48" spans="1:3" x14ac:dyDescent="0.25">
      <c r="A48" s="6" t="s">
        <v>43</v>
      </c>
      <c r="B48" s="4">
        <v>6</v>
      </c>
      <c r="C48" s="4">
        <v>6</v>
      </c>
    </row>
    <row r="59" spans="1:3" x14ac:dyDescent="0.25">
      <c r="A59" s="5" t="s">
        <v>46</v>
      </c>
      <c r="B59" s="5" t="s">
        <v>45</v>
      </c>
    </row>
    <row r="60" spans="1:3" x14ac:dyDescent="0.25">
      <c r="A60" s="5" t="s">
        <v>42</v>
      </c>
      <c r="B60" t="s">
        <v>18</v>
      </c>
      <c r="C60" t="s">
        <v>43</v>
      </c>
    </row>
    <row r="61" spans="1:3" x14ac:dyDescent="0.25">
      <c r="A61" s="6" t="s">
        <v>15</v>
      </c>
      <c r="B61" s="4">
        <v>2</v>
      </c>
      <c r="C61" s="4">
        <v>2</v>
      </c>
    </row>
    <row r="62" spans="1:3" x14ac:dyDescent="0.25">
      <c r="A62" s="6" t="s">
        <v>18</v>
      </c>
      <c r="B62" s="4">
        <v>4</v>
      </c>
      <c r="C62" s="4">
        <v>4</v>
      </c>
    </row>
    <row r="63" spans="1:3" x14ac:dyDescent="0.25">
      <c r="A63" s="6" t="s">
        <v>43</v>
      </c>
      <c r="B63" s="4">
        <v>6</v>
      </c>
      <c r="C63" s="4">
        <v>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0CBD-1849-4E62-B86E-7A340140AE29}">
  <dimension ref="A1:N1027"/>
  <sheetViews>
    <sheetView topLeftCell="B1006" workbookViewId="0">
      <selection activeCell="H1010" sqref="H1010"/>
    </sheetView>
  </sheetViews>
  <sheetFormatPr defaultColWidth="11.85546875" defaultRowHeight="15" x14ac:dyDescent="0.25"/>
  <cols>
    <col min="4" max="4" width="14.7109375" style="3" customWidth="1"/>
    <col min="6" max="6" width="16.28515625" customWidth="1"/>
    <col min="7" max="7" width="17.42578125" customWidth="1"/>
    <col min="8" max="8" width="18.140625" customWidth="1"/>
    <col min="9" max="9" width="15.7109375" customWidth="1"/>
    <col min="10" max="10" width="18.140625" customWidth="1"/>
    <col min="14" max="14" width="15.42578125" customWidth="1"/>
  </cols>
  <sheetData>
    <row r="1" spans="1:14" x14ac:dyDescent="0.25">
      <c r="A1" t="s">
        <v>0</v>
      </c>
      <c r="B1" t="s">
        <v>38</v>
      </c>
      <c r="C1" t="s">
        <v>2</v>
      </c>
      <c r="D1" s="3" t="s">
        <v>3</v>
      </c>
      <c r="E1" t="s">
        <v>4</v>
      </c>
      <c r="F1" t="s">
        <v>5</v>
      </c>
      <c r="G1" t="s">
        <v>6</v>
      </c>
      <c r="H1" t="s">
        <v>7</v>
      </c>
      <c r="I1" t="s">
        <v>8</v>
      </c>
      <c r="J1" t="s">
        <v>9</v>
      </c>
      <c r="K1" t="s">
        <v>10</v>
      </c>
      <c r="L1" t="s">
        <v>11</v>
      </c>
      <c r="M1" t="s">
        <v>41</v>
      </c>
      <c r="N1" t="s">
        <v>12</v>
      </c>
    </row>
    <row r="2" spans="1:14" x14ac:dyDescent="0.25">
      <c r="A2">
        <v>12496</v>
      </c>
      <c r="B2" t="s">
        <v>36</v>
      </c>
      <c r="C2" t="s">
        <v>39</v>
      </c>
      <c r="D2" s="3">
        <v>40000</v>
      </c>
      <c r="E2">
        <v>1</v>
      </c>
      <c r="F2" t="s">
        <v>13</v>
      </c>
      <c r="G2" t="s">
        <v>14</v>
      </c>
      <c r="H2" t="s">
        <v>15</v>
      </c>
      <c r="I2">
        <v>0</v>
      </c>
      <c r="J2" t="s">
        <v>16</v>
      </c>
      <c r="K2" t="s">
        <v>17</v>
      </c>
      <c r="L2">
        <v>42</v>
      </c>
      <c r="M2" t="str">
        <f>IF(L2&gt;50,"old",IF(L2&gt;30,"middle age",IF(L2&lt;=30,"young","invalid")))</f>
        <v>middle age</v>
      </c>
      <c r="N2" t="s">
        <v>18</v>
      </c>
    </row>
    <row r="3" spans="1:14" x14ac:dyDescent="0.25">
      <c r="A3">
        <v>24107</v>
      </c>
      <c r="B3" t="s">
        <v>36</v>
      </c>
      <c r="C3" t="s">
        <v>40</v>
      </c>
      <c r="D3" s="3">
        <v>30000</v>
      </c>
      <c r="E3">
        <v>3</v>
      </c>
      <c r="F3" t="s">
        <v>19</v>
      </c>
      <c r="G3" t="s">
        <v>20</v>
      </c>
      <c r="H3" t="s">
        <v>15</v>
      </c>
      <c r="I3">
        <v>1</v>
      </c>
      <c r="J3" t="s">
        <v>16</v>
      </c>
      <c r="K3" t="s">
        <v>17</v>
      </c>
      <c r="L3">
        <v>43</v>
      </c>
      <c r="M3" t="str">
        <f t="shared" ref="M3:M66" si="0">IF(L3&gt;50,"old",IF(L3&gt;30,"middle age",IF(L3&lt;=30,"young","invalid")))</f>
        <v>middle age</v>
      </c>
      <c r="N3" t="s">
        <v>18</v>
      </c>
    </row>
    <row r="4" spans="1:14" x14ac:dyDescent="0.25">
      <c r="A4">
        <v>14177</v>
      </c>
      <c r="B4" t="s">
        <v>36</v>
      </c>
      <c r="C4" t="s">
        <v>40</v>
      </c>
      <c r="D4" s="3">
        <v>80000</v>
      </c>
      <c r="E4">
        <v>5</v>
      </c>
      <c r="F4" t="s">
        <v>19</v>
      </c>
      <c r="G4" t="s">
        <v>21</v>
      </c>
      <c r="H4" t="s">
        <v>18</v>
      </c>
      <c r="I4">
        <v>2</v>
      </c>
      <c r="J4" t="s">
        <v>22</v>
      </c>
      <c r="K4" t="s">
        <v>17</v>
      </c>
      <c r="L4">
        <v>60</v>
      </c>
      <c r="M4" t="str">
        <f t="shared" si="0"/>
        <v>old</v>
      </c>
      <c r="N4" t="s">
        <v>18</v>
      </c>
    </row>
    <row r="5" spans="1:14" x14ac:dyDescent="0.25">
      <c r="A5">
        <v>24381</v>
      </c>
      <c r="B5" t="s">
        <v>37</v>
      </c>
      <c r="C5" t="s">
        <v>40</v>
      </c>
      <c r="D5" s="3">
        <v>70000</v>
      </c>
      <c r="E5">
        <v>0</v>
      </c>
      <c r="F5" t="s">
        <v>13</v>
      </c>
      <c r="G5" t="s">
        <v>21</v>
      </c>
      <c r="H5" t="s">
        <v>15</v>
      </c>
      <c r="I5">
        <v>1</v>
      </c>
      <c r="J5" t="s">
        <v>23</v>
      </c>
      <c r="K5" t="s">
        <v>24</v>
      </c>
      <c r="L5">
        <v>41</v>
      </c>
      <c r="M5" t="str">
        <f t="shared" si="0"/>
        <v>middle age</v>
      </c>
      <c r="N5" t="s">
        <v>15</v>
      </c>
    </row>
    <row r="6" spans="1:14" x14ac:dyDescent="0.25">
      <c r="A6">
        <v>25597</v>
      </c>
      <c r="B6" t="s">
        <v>37</v>
      </c>
      <c r="C6" t="s">
        <v>40</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40</v>
      </c>
      <c r="D8" s="3">
        <v>160000</v>
      </c>
      <c r="E8">
        <v>2</v>
      </c>
      <c r="F8" t="s">
        <v>27</v>
      </c>
      <c r="G8" t="s">
        <v>28</v>
      </c>
      <c r="H8" t="s">
        <v>15</v>
      </c>
      <c r="I8">
        <v>4</v>
      </c>
      <c r="J8" t="s">
        <v>16</v>
      </c>
      <c r="K8" t="s">
        <v>24</v>
      </c>
      <c r="L8">
        <v>33</v>
      </c>
      <c r="M8" t="str">
        <f t="shared" si="0"/>
        <v>middle age</v>
      </c>
      <c r="N8" t="s">
        <v>15</v>
      </c>
    </row>
    <row r="9" spans="1:14" x14ac:dyDescent="0.25">
      <c r="A9">
        <v>19364</v>
      </c>
      <c r="B9" t="s">
        <v>36</v>
      </c>
      <c r="C9" t="s">
        <v>40</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40</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39</v>
      </c>
      <c r="D13" s="3">
        <v>90000</v>
      </c>
      <c r="E13">
        <v>0</v>
      </c>
      <c r="F13" t="s">
        <v>13</v>
      </c>
      <c r="G13" t="s">
        <v>21</v>
      </c>
      <c r="H13" t="s">
        <v>18</v>
      </c>
      <c r="I13">
        <v>4</v>
      </c>
      <c r="J13" t="s">
        <v>30</v>
      </c>
      <c r="K13" t="s">
        <v>24</v>
      </c>
      <c r="L13">
        <v>36</v>
      </c>
      <c r="M13" t="str">
        <f t="shared" si="0"/>
        <v>middle age</v>
      </c>
      <c r="N13" t="s">
        <v>18</v>
      </c>
    </row>
    <row r="14" spans="1:14" x14ac:dyDescent="0.25">
      <c r="A14">
        <v>11434</v>
      </c>
      <c r="B14" t="s">
        <v>36</v>
      </c>
      <c r="C14" t="s">
        <v>40</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40</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40</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40</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40</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40</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30</v>
      </c>
      <c r="K23" t="s">
        <v>24</v>
      </c>
      <c r="L23">
        <v>35</v>
      </c>
      <c r="M23" t="str">
        <f t="shared" si="0"/>
        <v>middle age</v>
      </c>
      <c r="N23" t="s">
        <v>18</v>
      </c>
    </row>
    <row r="24" spans="1:14" x14ac:dyDescent="0.25">
      <c r="A24">
        <v>19193</v>
      </c>
      <c r="B24" t="s">
        <v>37</v>
      </c>
      <c r="C24" t="s">
        <v>40</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40</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40</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40</v>
      </c>
      <c r="D28" s="3">
        <v>30000</v>
      </c>
      <c r="E28">
        <v>0</v>
      </c>
      <c r="F28" t="s">
        <v>19</v>
      </c>
      <c r="G28" t="s">
        <v>20</v>
      </c>
      <c r="H28" t="s">
        <v>18</v>
      </c>
      <c r="I28">
        <v>1</v>
      </c>
      <c r="J28" t="s">
        <v>16</v>
      </c>
      <c r="K28" t="s">
        <v>17</v>
      </c>
      <c r="L28">
        <v>29</v>
      </c>
      <c r="M28" t="str">
        <f t="shared" si="0"/>
        <v>young</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40</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40</v>
      </c>
      <c r="D33" s="3">
        <v>10000</v>
      </c>
      <c r="E33">
        <v>0</v>
      </c>
      <c r="F33" t="s">
        <v>19</v>
      </c>
      <c r="G33" t="s">
        <v>25</v>
      </c>
      <c r="H33" t="s">
        <v>18</v>
      </c>
      <c r="I33">
        <v>1</v>
      </c>
      <c r="J33" t="s">
        <v>16</v>
      </c>
      <c r="K33" t="s">
        <v>24</v>
      </c>
      <c r="L33">
        <v>26</v>
      </c>
      <c r="M33" t="str">
        <f t="shared" si="0"/>
        <v>young</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40</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40</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young</v>
      </c>
      <c r="N39" t="s">
        <v>18</v>
      </c>
    </row>
    <row r="40" spans="1:14" x14ac:dyDescent="0.25">
      <c r="A40">
        <v>26863</v>
      </c>
      <c r="B40" t="s">
        <v>37</v>
      </c>
      <c r="C40" t="s">
        <v>40</v>
      </c>
      <c r="D40" s="3">
        <v>20000</v>
      </c>
      <c r="E40">
        <v>0</v>
      </c>
      <c r="F40" t="s">
        <v>27</v>
      </c>
      <c r="G40" t="s">
        <v>25</v>
      </c>
      <c r="H40" t="s">
        <v>18</v>
      </c>
      <c r="I40">
        <v>1</v>
      </c>
      <c r="J40" t="s">
        <v>22</v>
      </c>
      <c r="K40" t="s">
        <v>17</v>
      </c>
      <c r="L40">
        <v>28</v>
      </c>
      <c r="M40" t="str">
        <f t="shared" si="0"/>
        <v>young</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old</v>
      </c>
      <c r="N49" t="s">
        <v>15</v>
      </c>
    </row>
    <row r="50" spans="1:14" x14ac:dyDescent="0.25">
      <c r="A50">
        <v>19487</v>
      </c>
      <c r="B50" t="s">
        <v>36</v>
      </c>
      <c r="C50" t="s">
        <v>40</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40</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young</v>
      </c>
      <c r="N52" t="s">
        <v>18</v>
      </c>
    </row>
    <row r="53" spans="1:14" x14ac:dyDescent="0.25">
      <c r="A53">
        <v>20619</v>
      </c>
      <c r="B53" t="s">
        <v>37</v>
      </c>
      <c r="C53" t="s">
        <v>40</v>
      </c>
      <c r="D53" s="3">
        <v>80000</v>
      </c>
      <c r="E53">
        <v>0</v>
      </c>
      <c r="F53" t="s">
        <v>13</v>
      </c>
      <c r="G53" t="s">
        <v>21</v>
      </c>
      <c r="H53" t="s">
        <v>18</v>
      </c>
      <c r="I53">
        <v>4</v>
      </c>
      <c r="J53" t="s">
        <v>30</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40</v>
      </c>
      <c r="D57" s="3">
        <v>80000</v>
      </c>
      <c r="E57">
        <v>4</v>
      </c>
      <c r="F57" t="s">
        <v>27</v>
      </c>
      <c r="G57" t="s">
        <v>21</v>
      </c>
      <c r="H57" t="s">
        <v>15</v>
      </c>
      <c r="I57">
        <v>2</v>
      </c>
      <c r="J57" t="s">
        <v>30</v>
      </c>
      <c r="K57" t="s">
        <v>17</v>
      </c>
      <c r="L57">
        <v>54</v>
      </c>
      <c r="M57" t="str">
        <f t="shared" si="0"/>
        <v>old</v>
      </c>
      <c r="N57" t="s">
        <v>18</v>
      </c>
    </row>
    <row r="58" spans="1:14" x14ac:dyDescent="0.25">
      <c r="A58">
        <v>12808</v>
      </c>
      <c r="B58" t="s">
        <v>36</v>
      </c>
      <c r="C58" t="s">
        <v>40</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40</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40</v>
      </c>
      <c r="D64" s="3">
        <v>40000</v>
      </c>
      <c r="E64">
        <v>2</v>
      </c>
      <c r="F64" t="s">
        <v>13</v>
      </c>
      <c r="G64" t="s">
        <v>28</v>
      </c>
      <c r="H64" t="s">
        <v>15</v>
      </c>
      <c r="I64">
        <v>1</v>
      </c>
      <c r="J64" t="s">
        <v>16</v>
      </c>
      <c r="K64" t="s">
        <v>24</v>
      </c>
      <c r="L64">
        <v>52</v>
      </c>
      <c r="M64" t="str">
        <f t="shared" si="0"/>
        <v>old</v>
      </c>
      <c r="N64" t="s">
        <v>15</v>
      </c>
    </row>
    <row r="65" spans="1:14" x14ac:dyDescent="0.25">
      <c r="A65">
        <v>16185</v>
      </c>
      <c r="B65" t="s">
        <v>37</v>
      </c>
      <c r="C65" t="s">
        <v>40</v>
      </c>
      <c r="D65" s="3">
        <v>60000</v>
      </c>
      <c r="E65">
        <v>4</v>
      </c>
      <c r="F65" t="s">
        <v>13</v>
      </c>
      <c r="G65" t="s">
        <v>21</v>
      </c>
      <c r="H65" t="s">
        <v>15</v>
      </c>
      <c r="I65">
        <v>3</v>
      </c>
      <c r="J65" t="s">
        <v>30</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40</v>
      </c>
      <c r="D67" s="3">
        <v>30000</v>
      </c>
      <c r="E67">
        <v>2</v>
      </c>
      <c r="F67" t="s">
        <v>19</v>
      </c>
      <c r="G67" t="s">
        <v>20</v>
      </c>
      <c r="H67" t="s">
        <v>15</v>
      </c>
      <c r="I67">
        <v>2</v>
      </c>
      <c r="J67" t="s">
        <v>23</v>
      </c>
      <c r="K67" t="s">
        <v>24</v>
      </c>
      <c r="L67">
        <v>68</v>
      </c>
      <c r="M67" t="str">
        <f t="shared" ref="M67:M130" si="1">IF(L67&gt;50,"old",IF(L67&gt;30,"middle age",IF(L67&lt;=30,"young","invalid")))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40</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young</v>
      </c>
      <c r="N71" t="s">
        <v>18</v>
      </c>
    </row>
    <row r="72" spans="1:14" x14ac:dyDescent="0.25">
      <c r="A72">
        <v>14238</v>
      </c>
      <c r="B72" t="s">
        <v>36</v>
      </c>
      <c r="C72" t="s">
        <v>40</v>
      </c>
      <c r="D72" s="3">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old</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young</v>
      </c>
      <c r="N78" t="s">
        <v>18</v>
      </c>
    </row>
    <row r="79" spans="1:14" x14ac:dyDescent="0.25">
      <c r="A79">
        <v>27969</v>
      </c>
      <c r="B79" t="s">
        <v>36</v>
      </c>
      <c r="C79" t="s">
        <v>40</v>
      </c>
      <c r="D79" s="3">
        <v>80000</v>
      </c>
      <c r="E79">
        <v>0</v>
      </c>
      <c r="F79" t="s">
        <v>13</v>
      </c>
      <c r="G79" t="s">
        <v>21</v>
      </c>
      <c r="H79" t="s">
        <v>15</v>
      </c>
      <c r="I79">
        <v>2</v>
      </c>
      <c r="J79" t="s">
        <v>30</v>
      </c>
      <c r="K79" t="s">
        <v>24</v>
      </c>
      <c r="L79">
        <v>29</v>
      </c>
      <c r="M79" t="str">
        <f t="shared" si="1"/>
        <v>young</v>
      </c>
      <c r="N79" t="s">
        <v>15</v>
      </c>
    </row>
    <row r="80" spans="1:14" x14ac:dyDescent="0.25">
      <c r="A80">
        <v>15752</v>
      </c>
      <c r="B80" t="s">
        <v>36</v>
      </c>
      <c r="C80" t="s">
        <v>40</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40</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40</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40</v>
      </c>
      <c r="D85" s="3">
        <v>20000</v>
      </c>
      <c r="E85">
        <v>0</v>
      </c>
      <c r="F85" t="s">
        <v>27</v>
      </c>
      <c r="G85" t="s">
        <v>25</v>
      </c>
      <c r="H85" t="s">
        <v>18</v>
      </c>
      <c r="I85">
        <v>1</v>
      </c>
      <c r="J85" t="s">
        <v>22</v>
      </c>
      <c r="K85" t="s">
        <v>17</v>
      </c>
      <c r="L85">
        <v>29</v>
      </c>
      <c r="M85" t="str">
        <f t="shared" si="1"/>
        <v>young</v>
      </c>
      <c r="N85" t="s">
        <v>18</v>
      </c>
    </row>
    <row r="86" spans="1:14" x14ac:dyDescent="0.25">
      <c r="A86">
        <v>24485</v>
      </c>
      <c r="B86" t="s">
        <v>37</v>
      </c>
      <c r="C86" t="s">
        <v>40</v>
      </c>
      <c r="D86" s="3">
        <v>40000</v>
      </c>
      <c r="E86">
        <v>2</v>
      </c>
      <c r="F86" t="s">
        <v>13</v>
      </c>
      <c r="G86" t="s">
        <v>28</v>
      </c>
      <c r="H86" t="s">
        <v>18</v>
      </c>
      <c r="I86">
        <v>1</v>
      </c>
      <c r="J86" t="s">
        <v>23</v>
      </c>
      <c r="K86" t="s">
        <v>24</v>
      </c>
      <c r="L86">
        <v>52</v>
      </c>
      <c r="M86" t="str">
        <f t="shared" si="1"/>
        <v>old</v>
      </c>
      <c r="N86" t="s">
        <v>15</v>
      </c>
    </row>
    <row r="87" spans="1:14" x14ac:dyDescent="0.25">
      <c r="A87">
        <v>16514</v>
      </c>
      <c r="B87" t="s">
        <v>37</v>
      </c>
      <c r="C87" t="s">
        <v>40</v>
      </c>
      <c r="D87" s="3">
        <v>10000</v>
      </c>
      <c r="E87">
        <v>0</v>
      </c>
      <c r="F87" t="s">
        <v>19</v>
      </c>
      <c r="G87" t="s">
        <v>25</v>
      </c>
      <c r="H87" t="s">
        <v>15</v>
      </c>
      <c r="I87">
        <v>1</v>
      </c>
      <c r="J87" t="s">
        <v>26</v>
      </c>
      <c r="K87" t="s">
        <v>24</v>
      </c>
      <c r="L87">
        <v>26</v>
      </c>
      <c r="M87" t="str">
        <f t="shared" si="1"/>
        <v>young</v>
      </c>
      <c r="N87" t="s">
        <v>15</v>
      </c>
    </row>
    <row r="88" spans="1:14" x14ac:dyDescent="0.25">
      <c r="A88">
        <v>17191</v>
      </c>
      <c r="B88" t="s">
        <v>37</v>
      </c>
      <c r="C88" t="s">
        <v>40</v>
      </c>
      <c r="D88" s="3">
        <v>130000</v>
      </c>
      <c r="E88">
        <v>3</v>
      </c>
      <c r="F88" t="s">
        <v>19</v>
      </c>
      <c r="G88" t="s">
        <v>21</v>
      </c>
      <c r="H88" t="s">
        <v>18</v>
      </c>
      <c r="I88">
        <v>3</v>
      </c>
      <c r="J88" t="s">
        <v>16</v>
      </c>
      <c r="K88" t="s">
        <v>17</v>
      </c>
      <c r="L88">
        <v>51</v>
      </c>
      <c r="M88" t="str">
        <f t="shared" si="1"/>
        <v>old</v>
      </c>
      <c r="N88" t="s">
        <v>15</v>
      </c>
    </row>
    <row r="89" spans="1:14" x14ac:dyDescent="0.25">
      <c r="A89">
        <v>19608</v>
      </c>
      <c r="B89" t="s">
        <v>36</v>
      </c>
      <c r="C89" t="s">
        <v>40</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40</v>
      </c>
      <c r="D90" s="3">
        <v>30000</v>
      </c>
      <c r="E90">
        <v>0</v>
      </c>
      <c r="F90" t="s">
        <v>19</v>
      </c>
      <c r="G90" t="s">
        <v>20</v>
      </c>
      <c r="H90" t="s">
        <v>18</v>
      </c>
      <c r="I90">
        <v>1</v>
      </c>
      <c r="J90" t="s">
        <v>22</v>
      </c>
      <c r="K90" t="s">
        <v>17</v>
      </c>
      <c r="L90">
        <v>29</v>
      </c>
      <c r="M90" t="str">
        <f t="shared" si="1"/>
        <v>young</v>
      </c>
      <c r="N90" t="s">
        <v>18</v>
      </c>
    </row>
    <row r="91" spans="1:14" x14ac:dyDescent="0.25">
      <c r="A91">
        <v>25458</v>
      </c>
      <c r="B91" t="s">
        <v>36</v>
      </c>
      <c r="C91" t="s">
        <v>40</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young</v>
      </c>
      <c r="N92" t="s">
        <v>15</v>
      </c>
    </row>
    <row r="93" spans="1:14" x14ac:dyDescent="0.25">
      <c r="A93">
        <v>28436</v>
      </c>
      <c r="B93" t="s">
        <v>37</v>
      </c>
      <c r="C93" t="s">
        <v>40</v>
      </c>
      <c r="D93" s="3">
        <v>30000</v>
      </c>
      <c r="E93">
        <v>0</v>
      </c>
      <c r="F93" t="s">
        <v>19</v>
      </c>
      <c r="G93" t="s">
        <v>20</v>
      </c>
      <c r="H93" t="s">
        <v>18</v>
      </c>
      <c r="I93">
        <v>1</v>
      </c>
      <c r="J93" t="s">
        <v>16</v>
      </c>
      <c r="K93" t="s">
        <v>17</v>
      </c>
      <c r="L93">
        <v>30</v>
      </c>
      <c r="M93" t="str">
        <f t="shared" si="1"/>
        <v>young</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30</v>
      </c>
      <c r="K97" t="s">
        <v>17</v>
      </c>
      <c r="L97">
        <v>62</v>
      </c>
      <c r="M97" t="str">
        <f t="shared" si="1"/>
        <v>old</v>
      </c>
      <c r="N97" t="s">
        <v>18</v>
      </c>
    </row>
    <row r="98" spans="1:14" x14ac:dyDescent="0.25">
      <c r="A98">
        <v>12507</v>
      </c>
      <c r="B98" t="s">
        <v>36</v>
      </c>
      <c r="C98" t="s">
        <v>40</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40</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40</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40</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40</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40</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40</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40</v>
      </c>
      <c r="D108" s="3">
        <v>70000</v>
      </c>
      <c r="E108">
        <v>2</v>
      </c>
      <c r="F108" t="s">
        <v>19</v>
      </c>
      <c r="G108" t="s">
        <v>14</v>
      </c>
      <c r="H108" t="s">
        <v>15</v>
      </c>
      <c r="I108">
        <v>2</v>
      </c>
      <c r="J108" t="s">
        <v>23</v>
      </c>
      <c r="K108" t="s">
        <v>24</v>
      </c>
      <c r="L108">
        <v>52</v>
      </c>
      <c r="M108" t="str">
        <f t="shared" si="1"/>
        <v>old</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40</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40</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40</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40</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40</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40</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40</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40</v>
      </c>
      <c r="D130" s="3">
        <v>10000</v>
      </c>
      <c r="E130">
        <v>2</v>
      </c>
      <c r="F130" t="s">
        <v>19</v>
      </c>
      <c r="G130" t="s">
        <v>25</v>
      </c>
      <c r="H130" t="s">
        <v>15</v>
      </c>
      <c r="I130">
        <v>1</v>
      </c>
      <c r="J130" t="s">
        <v>16</v>
      </c>
      <c r="K130" t="s">
        <v>17</v>
      </c>
      <c r="L130">
        <v>52</v>
      </c>
      <c r="M130" t="str">
        <f t="shared" si="1"/>
        <v>old</v>
      </c>
      <c r="N130" t="s">
        <v>15</v>
      </c>
    </row>
    <row r="131" spans="1:14" x14ac:dyDescent="0.25">
      <c r="A131">
        <v>26818</v>
      </c>
      <c r="B131" t="s">
        <v>37</v>
      </c>
      <c r="C131" t="s">
        <v>40</v>
      </c>
      <c r="D131" s="3">
        <v>10000</v>
      </c>
      <c r="E131">
        <v>3</v>
      </c>
      <c r="F131" t="s">
        <v>27</v>
      </c>
      <c r="G131" t="s">
        <v>25</v>
      </c>
      <c r="H131" t="s">
        <v>15</v>
      </c>
      <c r="I131">
        <v>1</v>
      </c>
      <c r="J131" t="s">
        <v>16</v>
      </c>
      <c r="K131" t="s">
        <v>17</v>
      </c>
      <c r="L131">
        <v>39</v>
      </c>
      <c r="M131" t="str">
        <f t="shared" ref="M131:M194" si="2">IF(L131&gt;50,"old",IF(L131&gt;30,"middle age",IF(L131&lt;=30,"young","invalid")))</f>
        <v>middle age</v>
      </c>
      <c r="N131" t="s">
        <v>15</v>
      </c>
    </row>
    <row r="132" spans="1:14" x14ac:dyDescent="0.25">
      <c r="A132">
        <v>12993</v>
      </c>
      <c r="B132" t="s">
        <v>36</v>
      </c>
      <c r="C132" t="s">
        <v>40</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40</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40</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40</v>
      </c>
      <c r="D137" s="3">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40</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40</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40</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40</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40</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40</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40</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40</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40</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40</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40</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40</v>
      </c>
      <c r="D165" s="3">
        <v>40000</v>
      </c>
      <c r="E165">
        <v>2</v>
      </c>
      <c r="F165" t="s">
        <v>19</v>
      </c>
      <c r="G165" t="s">
        <v>14</v>
      </c>
      <c r="H165" t="s">
        <v>18</v>
      </c>
      <c r="I165">
        <v>2</v>
      </c>
      <c r="J165" t="s">
        <v>26</v>
      </c>
      <c r="K165" t="s">
        <v>24</v>
      </c>
      <c r="L165">
        <v>52</v>
      </c>
      <c r="M165" t="str">
        <f t="shared" si="2"/>
        <v>old</v>
      </c>
      <c r="N165" t="s">
        <v>18</v>
      </c>
    </row>
    <row r="166" spans="1:14" x14ac:dyDescent="0.25">
      <c r="A166">
        <v>22402</v>
      </c>
      <c r="B166" t="s">
        <v>36</v>
      </c>
      <c r="C166" t="s">
        <v>40</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37</v>
      </c>
      <c r="C168" t="s">
        <v>40</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40</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40</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40</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40</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37</v>
      </c>
      <c r="C176" t="s">
        <v>40</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old</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40</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40</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40</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40</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40</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30</v>
      </c>
      <c r="K195" t="s">
        <v>24</v>
      </c>
      <c r="L195">
        <v>41</v>
      </c>
      <c r="M195" t="str">
        <f t="shared" ref="M195:M258" si="3">IF(L195&gt;50,"old",IF(L195&gt;30,"middle age",IF(L195&lt;=30,"young","invalid")))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40</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40</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40</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40</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40</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old</v>
      </c>
      <c r="N206" t="s">
        <v>18</v>
      </c>
    </row>
    <row r="207" spans="1:14" x14ac:dyDescent="0.25">
      <c r="A207">
        <v>15657</v>
      </c>
      <c r="B207" t="s">
        <v>36</v>
      </c>
      <c r="C207" t="s">
        <v>40</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40</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37</v>
      </c>
      <c r="C215" t="s">
        <v>40</v>
      </c>
      <c r="D215" s="3">
        <v>70000</v>
      </c>
      <c r="E215">
        <v>0</v>
      </c>
      <c r="F215" t="s">
        <v>13</v>
      </c>
      <c r="G215" t="s">
        <v>21</v>
      </c>
      <c r="H215" t="s">
        <v>18</v>
      </c>
      <c r="I215">
        <v>4</v>
      </c>
      <c r="J215" t="s">
        <v>30</v>
      </c>
      <c r="K215" t="s">
        <v>24</v>
      </c>
      <c r="L215">
        <v>31</v>
      </c>
      <c r="M215" t="str">
        <f t="shared" si="3"/>
        <v>middle age</v>
      </c>
      <c r="N215" t="s">
        <v>15</v>
      </c>
    </row>
    <row r="216" spans="1:14" x14ac:dyDescent="0.25">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40</v>
      </c>
      <c r="D217" s="3">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40</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37</v>
      </c>
      <c r="C220" t="s">
        <v>40</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40</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40</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40</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40</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40</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40</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40</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40</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40</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40</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40</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37</v>
      </c>
      <c r="C244" t="s">
        <v>40</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39</v>
      </c>
      <c r="D246" s="3">
        <v>120000</v>
      </c>
      <c r="E246">
        <v>3</v>
      </c>
      <c r="F246" t="s">
        <v>13</v>
      </c>
      <c r="G246" t="s">
        <v>28</v>
      </c>
      <c r="H246" t="s">
        <v>18</v>
      </c>
      <c r="I246">
        <v>2</v>
      </c>
      <c r="J246" t="s">
        <v>30</v>
      </c>
      <c r="K246" t="s">
        <v>17</v>
      </c>
      <c r="L246">
        <v>52</v>
      </c>
      <c r="M246" t="str">
        <f t="shared" si="3"/>
        <v>old</v>
      </c>
      <c r="N246" t="s">
        <v>15</v>
      </c>
    </row>
    <row r="247" spans="1:14" x14ac:dyDescent="0.25">
      <c r="A247">
        <v>18494</v>
      </c>
      <c r="B247" t="s">
        <v>36</v>
      </c>
      <c r="C247" t="s">
        <v>40</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old</v>
      </c>
      <c r="N248" t="s">
        <v>15</v>
      </c>
    </row>
    <row r="249" spans="1:14" x14ac:dyDescent="0.25">
      <c r="A249">
        <v>21568</v>
      </c>
      <c r="B249" t="s">
        <v>36</v>
      </c>
      <c r="C249" t="s">
        <v>39</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40</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40</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40</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40</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40</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IF(L259&gt;50,"old",IF(L259&gt;30,"middle age",IF(L259&lt;=30,"young","invalid")))</f>
        <v>middle age</v>
      </c>
      <c r="N259" t="s">
        <v>15</v>
      </c>
    </row>
    <row r="260" spans="1:14" x14ac:dyDescent="0.25">
      <c r="A260">
        <v>14193</v>
      </c>
      <c r="B260" t="s">
        <v>37</v>
      </c>
      <c r="C260" t="s">
        <v>39</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40</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old</v>
      </c>
      <c r="N264" t="s">
        <v>18</v>
      </c>
    </row>
    <row r="265" spans="1:14" x14ac:dyDescent="0.25">
      <c r="A265">
        <v>23419</v>
      </c>
      <c r="B265" t="s">
        <v>37</v>
      </c>
      <c r="C265" t="s">
        <v>39</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40</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37</v>
      </c>
      <c r="C269" t="s">
        <v>40</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40</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old</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40</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40</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40</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40</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40</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40</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40</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40</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40</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40</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40</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40</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40</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40</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40</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40</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40</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40</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40</v>
      </c>
      <c r="D315" s="3">
        <v>40000</v>
      </c>
      <c r="E315">
        <v>3</v>
      </c>
      <c r="F315" t="s">
        <v>29</v>
      </c>
      <c r="G315" t="s">
        <v>20</v>
      </c>
      <c r="H315" t="s">
        <v>18</v>
      </c>
      <c r="I315">
        <v>2</v>
      </c>
      <c r="J315" t="s">
        <v>23</v>
      </c>
      <c r="K315" t="s">
        <v>24</v>
      </c>
      <c r="L315">
        <v>52</v>
      </c>
      <c r="M315" t="str">
        <f t="shared" si="4"/>
        <v>old</v>
      </c>
      <c r="N315" t="s">
        <v>15</v>
      </c>
    </row>
    <row r="316" spans="1:14" x14ac:dyDescent="0.25">
      <c r="A316">
        <v>18740</v>
      </c>
      <c r="B316" t="s">
        <v>36</v>
      </c>
      <c r="C316" t="s">
        <v>40</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40</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40</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40</v>
      </c>
      <c r="D320" s="3">
        <v>130000</v>
      </c>
      <c r="E320">
        <v>4</v>
      </c>
      <c r="F320" t="s">
        <v>19</v>
      </c>
      <c r="G320" t="s">
        <v>21</v>
      </c>
      <c r="H320" t="s">
        <v>18</v>
      </c>
      <c r="I320">
        <v>3</v>
      </c>
      <c r="J320" t="s">
        <v>30</v>
      </c>
      <c r="K320" t="s">
        <v>17</v>
      </c>
      <c r="L320">
        <v>54</v>
      </c>
      <c r="M320" t="str">
        <f t="shared" si="4"/>
        <v>old</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40</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IF(L323&gt;50,"old",IF(L323&gt;30,"middle age",IF(L323&lt;=30,"young","invalid")))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40</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40</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40</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40</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40</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40</v>
      </c>
      <c r="D335" s="3">
        <v>130000</v>
      </c>
      <c r="E335">
        <v>3</v>
      </c>
      <c r="F335" t="s">
        <v>27</v>
      </c>
      <c r="G335" t="s">
        <v>21</v>
      </c>
      <c r="H335" t="s">
        <v>15</v>
      </c>
      <c r="I335">
        <v>4</v>
      </c>
      <c r="J335" t="s">
        <v>23</v>
      </c>
      <c r="K335" t="s">
        <v>17</v>
      </c>
      <c r="L335">
        <v>51</v>
      </c>
      <c r="M335" t="str">
        <f t="shared" si="5"/>
        <v>old</v>
      </c>
      <c r="N335" t="s">
        <v>15</v>
      </c>
    </row>
    <row r="336" spans="1:14" x14ac:dyDescent="0.25">
      <c r="A336">
        <v>25241</v>
      </c>
      <c r="B336" t="s">
        <v>36</v>
      </c>
      <c r="C336" t="s">
        <v>40</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40</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40</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40</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40</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40</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40</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40</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40</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37</v>
      </c>
      <c r="C352" t="s">
        <v>40</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40</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old</v>
      </c>
      <c r="N354" t="s">
        <v>18</v>
      </c>
    </row>
    <row r="355" spans="1:14" x14ac:dyDescent="0.25">
      <c r="A355">
        <v>26354</v>
      </c>
      <c r="B355" t="s">
        <v>37</v>
      </c>
      <c r="C355" t="s">
        <v>40</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40</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40</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old</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40</v>
      </c>
      <c r="D361" s="3">
        <v>80000</v>
      </c>
      <c r="E361">
        <v>0</v>
      </c>
      <c r="F361" t="s">
        <v>13</v>
      </c>
      <c r="G361" t="s">
        <v>21</v>
      </c>
      <c r="H361" t="s">
        <v>15</v>
      </c>
      <c r="I361">
        <v>3</v>
      </c>
      <c r="J361" t="s">
        <v>30</v>
      </c>
      <c r="K361" t="s">
        <v>24</v>
      </c>
      <c r="L361">
        <v>30</v>
      </c>
      <c r="M361" t="str">
        <f t="shared" si="5"/>
        <v>young</v>
      </c>
      <c r="N361" t="s">
        <v>18</v>
      </c>
    </row>
    <row r="362" spans="1:14" x14ac:dyDescent="0.25">
      <c r="A362">
        <v>13082</v>
      </c>
      <c r="B362" t="s">
        <v>37</v>
      </c>
      <c r="C362" t="s">
        <v>40</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40</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40</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old</v>
      </c>
      <c r="N371" t="s">
        <v>15</v>
      </c>
    </row>
    <row r="372" spans="1:14" x14ac:dyDescent="0.25">
      <c r="A372">
        <v>17324</v>
      </c>
      <c r="B372" t="s">
        <v>36</v>
      </c>
      <c r="C372" t="s">
        <v>39</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40</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40</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40</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40</v>
      </c>
      <c r="D379" s="3">
        <v>130000</v>
      </c>
      <c r="E379">
        <v>3</v>
      </c>
      <c r="F379" t="s">
        <v>19</v>
      </c>
      <c r="G379" t="s">
        <v>21</v>
      </c>
      <c r="H379" t="s">
        <v>18</v>
      </c>
      <c r="I379">
        <v>3</v>
      </c>
      <c r="J379" t="s">
        <v>23</v>
      </c>
      <c r="K379" t="s">
        <v>17</v>
      </c>
      <c r="L379">
        <v>51</v>
      </c>
      <c r="M379" t="str">
        <f t="shared" si="5"/>
        <v>old</v>
      </c>
      <c r="N379" t="s">
        <v>15</v>
      </c>
    </row>
    <row r="380" spans="1:14" x14ac:dyDescent="0.25">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40</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40</v>
      </c>
      <c r="D382" s="3">
        <v>70000</v>
      </c>
      <c r="E382">
        <v>0</v>
      </c>
      <c r="F382" t="s">
        <v>13</v>
      </c>
      <c r="G382" t="s">
        <v>21</v>
      </c>
      <c r="H382" t="s">
        <v>18</v>
      </c>
      <c r="I382">
        <v>3</v>
      </c>
      <c r="J382" t="s">
        <v>30</v>
      </c>
      <c r="K382" t="s">
        <v>24</v>
      </c>
      <c r="L382">
        <v>30</v>
      </c>
      <c r="M382" t="str">
        <f t="shared" si="5"/>
        <v>young</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40</v>
      </c>
      <c r="D384" s="3">
        <v>80000</v>
      </c>
      <c r="E384">
        <v>4</v>
      </c>
      <c r="F384" t="s">
        <v>19</v>
      </c>
      <c r="G384" t="s">
        <v>21</v>
      </c>
      <c r="H384" t="s">
        <v>15</v>
      </c>
      <c r="I384">
        <v>2</v>
      </c>
      <c r="J384" t="s">
        <v>30</v>
      </c>
      <c r="K384" t="s">
        <v>17</v>
      </c>
      <c r="L384">
        <v>53</v>
      </c>
      <c r="M384" t="str">
        <f t="shared" si="5"/>
        <v>old</v>
      </c>
      <c r="N384" t="s">
        <v>18</v>
      </c>
    </row>
    <row r="385" spans="1:14" x14ac:dyDescent="0.25">
      <c r="A385">
        <v>17978</v>
      </c>
      <c r="B385" t="s">
        <v>36</v>
      </c>
      <c r="C385" t="s">
        <v>40</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37</v>
      </c>
      <c r="C387" t="s">
        <v>40</v>
      </c>
      <c r="D387" s="3">
        <v>30000</v>
      </c>
      <c r="E387">
        <v>3</v>
      </c>
      <c r="F387" t="s">
        <v>19</v>
      </c>
      <c r="G387" t="s">
        <v>20</v>
      </c>
      <c r="H387" t="s">
        <v>15</v>
      </c>
      <c r="I387">
        <v>0</v>
      </c>
      <c r="J387" t="s">
        <v>16</v>
      </c>
      <c r="K387" t="s">
        <v>17</v>
      </c>
      <c r="L387">
        <v>43</v>
      </c>
      <c r="M387" t="str">
        <f t="shared" ref="M387:M450" si="6">IF(L387&gt;50,"old",IF(L387&gt;30,"middle age",IF(L387&lt;=30,"young","invalid")))</f>
        <v>middle age</v>
      </c>
      <c r="N387" t="s">
        <v>18</v>
      </c>
    </row>
    <row r="388" spans="1:14" x14ac:dyDescent="0.25">
      <c r="A388">
        <v>28957</v>
      </c>
      <c r="B388" t="s">
        <v>37</v>
      </c>
      <c r="C388" t="s">
        <v>39</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40</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40</v>
      </c>
      <c r="D394" s="3">
        <v>20000</v>
      </c>
      <c r="E394">
        <v>1</v>
      </c>
      <c r="F394" t="s">
        <v>13</v>
      </c>
      <c r="G394" t="s">
        <v>20</v>
      </c>
      <c r="H394" t="s">
        <v>18</v>
      </c>
      <c r="I394">
        <v>0</v>
      </c>
      <c r="J394" t="s">
        <v>16</v>
      </c>
      <c r="K394" t="s">
        <v>17</v>
      </c>
      <c r="L394">
        <v>51</v>
      </c>
      <c r="M394" t="str">
        <f t="shared" si="6"/>
        <v>old</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40</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40</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40</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old</v>
      </c>
      <c r="N401" t="s">
        <v>15</v>
      </c>
    </row>
    <row r="402" spans="1:14" x14ac:dyDescent="0.25">
      <c r="A402">
        <v>25792</v>
      </c>
      <c r="B402" t="s">
        <v>37</v>
      </c>
      <c r="C402" t="s">
        <v>39</v>
      </c>
      <c r="D402" s="3">
        <v>110000</v>
      </c>
      <c r="E402">
        <v>3</v>
      </c>
      <c r="F402" t="s">
        <v>13</v>
      </c>
      <c r="G402" t="s">
        <v>28</v>
      </c>
      <c r="H402" t="s">
        <v>15</v>
      </c>
      <c r="I402">
        <v>4</v>
      </c>
      <c r="J402" t="s">
        <v>30</v>
      </c>
      <c r="K402" t="s">
        <v>17</v>
      </c>
      <c r="L402">
        <v>53</v>
      </c>
      <c r="M402" t="str">
        <f t="shared" si="6"/>
        <v>old</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40</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40</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40</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old</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40</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40</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40</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40</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40</v>
      </c>
      <c r="D421" s="3">
        <v>10000</v>
      </c>
      <c r="E421">
        <v>2</v>
      </c>
      <c r="F421" t="s">
        <v>19</v>
      </c>
      <c r="G421" t="s">
        <v>25</v>
      </c>
      <c r="H421" t="s">
        <v>15</v>
      </c>
      <c r="I421">
        <v>1</v>
      </c>
      <c r="J421" t="s">
        <v>16</v>
      </c>
      <c r="K421" t="s">
        <v>17</v>
      </c>
      <c r="L421">
        <v>51</v>
      </c>
      <c r="M421" t="str">
        <f t="shared" si="6"/>
        <v>old</v>
      </c>
      <c r="N421" t="s">
        <v>15</v>
      </c>
    </row>
    <row r="422" spans="1:14" x14ac:dyDescent="0.25">
      <c r="A422">
        <v>18153</v>
      </c>
      <c r="B422" t="s">
        <v>36</v>
      </c>
      <c r="C422" t="s">
        <v>39</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40</v>
      </c>
      <c r="D423" s="3">
        <v>10000</v>
      </c>
      <c r="E423">
        <v>2</v>
      </c>
      <c r="F423" t="s">
        <v>19</v>
      </c>
      <c r="G423" t="s">
        <v>25</v>
      </c>
      <c r="H423" t="s">
        <v>15</v>
      </c>
      <c r="I423">
        <v>0</v>
      </c>
      <c r="J423" t="s">
        <v>26</v>
      </c>
      <c r="K423" t="s">
        <v>17</v>
      </c>
      <c r="L423">
        <v>51</v>
      </c>
      <c r="M423" t="str">
        <f t="shared" si="6"/>
        <v>old</v>
      </c>
      <c r="N423" t="s">
        <v>18</v>
      </c>
    </row>
    <row r="424" spans="1:14" x14ac:dyDescent="0.25">
      <c r="A424">
        <v>24901</v>
      </c>
      <c r="B424" t="s">
        <v>37</v>
      </c>
      <c r="C424" t="s">
        <v>40</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40</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40</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40</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40</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39</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40</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40</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40</v>
      </c>
      <c r="D443" s="3">
        <v>70000</v>
      </c>
      <c r="E443">
        <v>2</v>
      </c>
      <c r="F443" t="s">
        <v>19</v>
      </c>
      <c r="G443" t="s">
        <v>14</v>
      </c>
      <c r="H443" t="s">
        <v>15</v>
      </c>
      <c r="I443">
        <v>2</v>
      </c>
      <c r="J443" t="s">
        <v>23</v>
      </c>
      <c r="K443" t="s">
        <v>24</v>
      </c>
      <c r="L443">
        <v>52</v>
      </c>
      <c r="M443" t="str">
        <f t="shared" si="6"/>
        <v>old</v>
      </c>
      <c r="N443" t="s">
        <v>15</v>
      </c>
    </row>
    <row r="444" spans="1:14" x14ac:dyDescent="0.25">
      <c r="A444">
        <v>26651</v>
      </c>
      <c r="B444" t="s">
        <v>37</v>
      </c>
      <c r="C444" t="s">
        <v>40</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40</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IF(L451&gt;50,"old",IF(L451&gt;30,"middle age",IF(L451&lt;=30,"young","invalid")))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40</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old</v>
      </c>
      <c r="N457" t="s">
        <v>15</v>
      </c>
    </row>
    <row r="458" spans="1:14" x14ac:dyDescent="0.25">
      <c r="A458">
        <v>26385</v>
      </c>
      <c r="B458" t="s">
        <v>37</v>
      </c>
      <c r="C458" t="s">
        <v>40</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40</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40</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40</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40</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40</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37</v>
      </c>
      <c r="C473" t="s">
        <v>40</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40</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40</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40</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40</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40</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40</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40</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40</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40</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40</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40</v>
      </c>
      <c r="D496" s="3">
        <v>70000</v>
      </c>
      <c r="E496">
        <v>4</v>
      </c>
      <c r="F496" t="s">
        <v>27</v>
      </c>
      <c r="G496" t="s">
        <v>21</v>
      </c>
      <c r="H496" t="s">
        <v>15</v>
      </c>
      <c r="I496">
        <v>0</v>
      </c>
      <c r="J496" t="s">
        <v>23</v>
      </c>
      <c r="K496" t="s">
        <v>32</v>
      </c>
      <c r="L496">
        <v>51</v>
      </c>
      <c r="M496" t="str">
        <f t="shared" si="7"/>
        <v>old</v>
      </c>
      <c r="N496" t="s">
        <v>18</v>
      </c>
    </row>
    <row r="497" spans="1:14" x14ac:dyDescent="0.25">
      <c r="A497">
        <v>24981</v>
      </c>
      <c r="B497" t="s">
        <v>36</v>
      </c>
      <c r="C497" t="s">
        <v>40</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40</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40</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40</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40</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40</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old</v>
      </c>
      <c r="N509" t="s">
        <v>15</v>
      </c>
    </row>
    <row r="510" spans="1:14" x14ac:dyDescent="0.25">
      <c r="A510">
        <v>16337</v>
      </c>
      <c r="B510" t="s">
        <v>36</v>
      </c>
      <c r="C510" t="s">
        <v>40</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40</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40</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40</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30</v>
      </c>
      <c r="K515" t="s">
        <v>32</v>
      </c>
      <c r="L515">
        <v>61</v>
      </c>
      <c r="M515" t="str">
        <f t="shared" ref="M515:M578" si="8">IF(L515&gt;50,"old",IF(L515&gt;30,"middle age",IF(L515&lt;=30,"young","invalid")))</f>
        <v>old</v>
      </c>
      <c r="N515" t="s">
        <v>15</v>
      </c>
    </row>
    <row r="516" spans="1:14" x14ac:dyDescent="0.25">
      <c r="A516">
        <v>19399</v>
      </c>
      <c r="B516" t="s">
        <v>37</v>
      </c>
      <c r="C516" t="s">
        <v>40</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40</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40</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40</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40</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40</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40</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40</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40</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40</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37</v>
      </c>
      <c r="C533" t="s">
        <v>40</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40</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40</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40</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40</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40</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old</v>
      </c>
      <c r="N545" t="s">
        <v>18</v>
      </c>
    </row>
    <row r="546" spans="1:14" x14ac:dyDescent="0.25">
      <c r="A546">
        <v>24397</v>
      </c>
      <c r="B546" t="s">
        <v>37</v>
      </c>
      <c r="C546" t="s">
        <v>40</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40</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40</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40</v>
      </c>
      <c r="D554" s="3">
        <v>60000</v>
      </c>
      <c r="E554">
        <v>3</v>
      </c>
      <c r="F554" t="s">
        <v>27</v>
      </c>
      <c r="G554" t="s">
        <v>21</v>
      </c>
      <c r="H554" t="s">
        <v>15</v>
      </c>
      <c r="I554">
        <v>2</v>
      </c>
      <c r="J554" t="s">
        <v>30</v>
      </c>
      <c r="K554" t="s">
        <v>32</v>
      </c>
      <c r="L554">
        <v>54</v>
      </c>
      <c r="M554" t="str">
        <f t="shared" si="8"/>
        <v>old</v>
      </c>
      <c r="N554" t="s">
        <v>15</v>
      </c>
    </row>
    <row r="555" spans="1:14" x14ac:dyDescent="0.25">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40</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40</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37</v>
      </c>
      <c r="C566" t="s">
        <v>40</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40</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40</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40</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40</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40</v>
      </c>
      <c r="D572" s="3">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40</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40</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40</v>
      </c>
      <c r="D579" s="3">
        <v>120000</v>
      </c>
      <c r="E579">
        <v>1</v>
      </c>
      <c r="F579" t="s">
        <v>13</v>
      </c>
      <c r="G579" t="s">
        <v>28</v>
      </c>
      <c r="H579" t="s">
        <v>15</v>
      </c>
      <c r="I579">
        <v>4</v>
      </c>
      <c r="J579" t="s">
        <v>16</v>
      </c>
      <c r="K579" t="s">
        <v>32</v>
      </c>
      <c r="L579">
        <v>38</v>
      </c>
      <c r="M579" t="str">
        <f t="shared" ref="M579:M642" si="9">IF(L579&gt;50,"old",IF(L579&gt;30,"middle age",IF(L579&lt;=30,"young","invalid")))</f>
        <v>middle age</v>
      </c>
      <c r="N579" t="s">
        <v>18</v>
      </c>
    </row>
    <row r="580" spans="1:14" x14ac:dyDescent="0.25">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40</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40</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40</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40</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40</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40</v>
      </c>
      <c r="D588" s="3">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30</v>
      </c>
      <c r="K590" t="s">
        <v>32</v>
      </c>
      <c r="L590">
        <v>51</v>
      </c>
      <c r="M590" t="str">
        <f t="shared" si="9"/>
        <v>old</v>
      </c>
      <c r="N590" t="s">
        <v>15</v>
      </c>
    </row>
    <row r="591" spans="1:14" x14ac:dyDescent="0.25">
      <c r="A591">
        <v>12100</v>
      </c>
      <c r="B591" t="s">
        <v>37</v>
      </c>
      <c r="C591" t="s">
        <v>40</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40</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40</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40</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40</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40</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40</v>
      </c>
      <c r="D604" s="3">
        <v>60000</v>
      </c>
      <c r="E604">
        <v>2</v>
      </c>
      <c r="F604" t="s">
        <v>29</v>
      </c>
      <c r="G604" t="s">
        <v>14</v>
      </c>
      <c r="H604" t="s">
        <v>15</v>
      </c>
      <c r="I604">
        <v>2</v>
      </c>
      <c r="J604" t="s">
        <v>23</v>
      </c>
      <c r="K604" t="s">
        <v>32</v>
      </c>
      <c r="L604">
        <v>52</v>
      </c>
      <c r="M604" t="str">
        <f t="shared" si="9"/>
        <v>old</v>
      </c>
      <c r="N604" t="s">
        <v>15</v>
      </c>
    </row>
    <row r="605" spans="1:14" x14ac:dyDescent="0.25">
      <c r="A605">
        <v>20000</v>
      </c>
      <c r="B605" t="s">
        <v>36</v>
      </c>
      <c r="C605" t="s">
        <v>40</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40</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37</v>
      </c>
      <c r="C607" t="s">
        <v>40</v>
      </c>
      <c r="D607" s="3">
        <v>70000</v>
      </c>
      <c r="E607">
        <v>3</v>
      </c>
      <c r="F607" t="s">
        <v>27</v>
      </c>
      <c r="G607" t="s">
        <v>21</v>
      </c>
      <c r="H607" t="s">
        <v>15</v>
      </c>
      <c r="I607">
        <v>0</v>
      </c>
      <c r="J607" t="s">
        <v>23</v>
      </c>
      <c r="K607" t="s">
        <v>32</v>
      </c>
      <c r="L607">
        <v>52</v>
      </c>
      <c r="M607" t="str">
        <f t="shared" si="9"/>
        <v>old</v>
      </c>
      <c r="N607" t="s">
        <v>15</v>
      </c>
    </row>
    <row r="608" spans="1:14" x14ac:dyDescent="0.25">
      <c r="A608">
        <v>11644</v>
      </c>
      <c r="B608" t="s">
        <v>37</v>
      </c>
      <c r="C608" t="s">
        <v>40</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40</v>
      </c>
      <c r="D610" s="3">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40</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40</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37</v>
      </c>
      <c r="C615" t="s">
        <v>40</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40</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40</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40</v>
      </c>
      <c r="D630" s="3">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40</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37</v>
      </c>
      <c r="C633" t="s">
        <v>40</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40</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40</v>
      </c>
      <c r="D643" s="3">
        <v>50000</v>
      </c>
      <c r="E643">
        <v>4</v>
      </c>
      <c r="F643" t="s">
        <v>13</v>
      </c>
      <c r="G643" t="s">
        <v>28</v>
      </c>
      <c r="H643" t="s">
        <v>15</v>
      </c>
      <c r="I643">
        <v>2</v>
      </c>
      <c r="J643" t="s">
        <v>30</v>
      </c>
      <c r="K643" t="s">
        <v>32</v>
      </c>
      <c r="L643">
        <v>64</v>
      </c>
      <c r="M643" t="str">
        <f t="shared" ref="M643:M706" si="10">IF(L643&gt;50,"old",IF(L643&gt;30,"middle age",IF(L643&lt;=30,"young","invalid")))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40</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40</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40</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40</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40</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40</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40</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40</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40</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40</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40</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40</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40</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40</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40</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40</v>
      </c>
      <c r="D684" s="3">
        <v>20000</v>
      </c>
      <c r="E684">
        <v>3</v>
      </c>
      <c r="F684" t="s">
        <v>29</v>
      </c>
      <c r="G684" t="s">
        <v>20</v>
      </c>
      <c r="H684" t="s">
        <v>18</v>
      </c>
      <c r="I684">
        <v>2</v>
      </c>
      <c r="J684" t="s">
        <v>16</v>
      </c>
      <c r="K684" t="s">
        <v>32</v>
      </c>
      <c r="L684">
        <v>52</v>
      </c>
      <c r="M684" t="str">
        <f t="shared" si="10"/>
        <v>old</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old</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old</v>
      </c>
      <c r="N688" t="s">
        <v>15</v>
      </c>
    </row>
    <row r="689" spans="1:14" x14ac:dyDescent="0.25">
      <c r="A689">
        <v>18910</v>
      </c>
      <c r="B689" t="s">
        <v>37</v>
      </c>
      <c r="C689" t="s">
        <v>40</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37</v>
      </c>
      <c r="C690" t="s">
        <v>40</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40</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40</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40</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40</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40</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40</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40</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40</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40</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30</v>
      </c>
      <c r="K707" t="s">
        <v>32</v>
      </c>
      <c r="L707">
        <v>59</v>
      </c>
      <c r="M707" t="str">
        <f t="shared" ref="M707:M770" si="11">IF(L707&gt;50,"old",IF(L707&gt;30,"middle age",IF(L707&lt;=30,"young","invalid")))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40</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40</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40</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40</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40</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40</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old</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40</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40</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40</v>
      </c>
      <c r="D728" s="3">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40</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40</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40</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40</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40</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40</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36</v>
      </c>
      <c r="C742" t="s">
        <v>40</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40</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40</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40</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40</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40</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40</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40</v>
      </c>
      <c r="D757" s="3">
        <v>60000</v>
      </c>
      <c r="E757">
        <v>3</v>
      </c>
      <c r="F757" t="s">
        <v>27</v>
      </c>
      <c r="G757" t="s">
        <v>21</v>
      </c>
      <c r="H757" t="s">
        <v>18</v>
      </c>
      <c r="I757">
        <v>2</v>
      </c>
      <c r="J757" t="s">
        <v>22</v>
      </c>
      <c r="K757" t="s">
        <v>32</v>
      </c>
      <c r="L757">
        <v>53</v>
      </c>
      <c r="M757" t="str">
        <f t="shared" si="11"/>
        <v>old</v>
      </c>
      <c r="N757" t="s">
        <v>18</v>
      </c>
    </row>
    <row r="758" spans="1:14" x14ac:dyDescent="0.25">
      <c r="A758">
        <v>27261</v>
      </c>
      <c r="B758" t="s">
        <v>36</v>
      </c>
      <c r="C758" t="s">
        <v>40</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40</v>
      </c>
      <c r="D759" s="3">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40</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40</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40</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40</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IF(L771&gt;50,"old",IF(L771&gt;30,"middle age",IF(L771&lt;=30,"young","invalid")))</f>
        <v>middle age</v>
      </c>
      <c r="N771" t="s">
        <v>18</v>
      </c>
    </row>
    <row r="772" spans="1:14" x14ac:dyDescent="0.25">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40</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40</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40</v>
      </c>
      <c r="D777" s="3">
        <v>70000</v>
      </c>
      <c r="E777">
        <v>2</v>
      </c>
      <c r="F777" t="s">
        <v>29</v>
      </c>
      <c r="G777" t="s">
        <v>14</v>
      </c>
      <c r="H777" t="s">
        <v>15</v>
      </c>
      <c r="I777">
        <v>2</v>
      </c>
      <c r="J777" t="s">
        <v>30</v>
      </c>
      <c r="K777" t="s">
        <v>32</v>
      </c>
      <c r="L777">
        <v>54</v>
      </c>
      <c r="M777" t="str">
        <f t="shared" si="12"/>
        <v>old</v>
      </c>
      <c r="N777" t="s">
        <v>18</v>
      </c>
    </row>
    <row r="778" spans="1:14" x14ac:dyDescent="0.25">
      <c r="A778">
        <v>26490</v>
      </c>
      <c r="B778" t="s">
        <v>37</v>
      </c>
      <c r="C778" t="s">
        <v>40</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40</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40</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40</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36</v>
      </c>
      <c r="C783" t="s">
        <v>40</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40</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40</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old</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40</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40</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37</v>
      </c>
      <c r="C794" t="s">
        <v>40</v>
      </c>
      <c r="D794" s="3">
        <v>30000</v>
      </c>
      <c r="E794">
        <v>1</v>
      </c>
      <c r="F794" t="s">
        <v>27</v>
      </c>
      <c r="G794" t="s">
        <v>20</v>
      </c>
      <c r="H794" t="s">
        <v>18</v>
      </c>
      <c r="I794">
        <v>1</v>
      </c>
      <c r="J794" t="s">
        <v>23</v>
      </c>
      <c r="K794" t="s">
        <v>32</v>
      </c>
      <c r="L794">
        <v>52</v>
      </c>
      <c r="M794" t="str">
        <f t="shared" si="12"/>
        <v>old</v>
      </c>
      <c r="N794" t="s">
        <v>18</v>
      </c>
    </row>
    <row r="795" spans="1:14" x14ac:dyDescent="0.25">
      <c r="A795">
        <v>12768</v>
      </c>
      <c r="B795" t="s">
        <v>36</v>
      </c>
      <c r="C795" t="s">
        <v>40</v>
      </c>
      <c r="D795" s="3">
        <v>30000</v>
      </c>
      <c r="E795">
        <v>1</v>
      </c>
      <c r="F795" t="s">
        <v>27</v>
      </c>
      <c r="G795" t="s">
        <v>20</v>
      </c>
      <c r="H795" t="s">
        <v>15</v>
      </c>
      <c r="I795">
        <v>1</v>
      </c>
      <c r="J795" t="s">
        <v>22</v>
      </c>
      <c r="K795" t="s">
        <v>32</v>
      </c>
      <c r="L795">
        <v>52</v>
      </c>
      <c r="M795" t="str">
        <f t="shared" si="12"/>
        <v>old</v>
      </c>
      <c r="N795" t="s">
        <v>15</v>
      </c>
    </row>
    <row r="796" spans="1:14" x14ac:dyDescent="0.25">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40</v>
      </c>
      <c r="D797" s="3">
        <v>60000</v>
      </c>
      <c r="E797">
        <v>2</v>
      </c>
      <c r="F797" t="s">
        <v>27</v>
      </c>
      <c r="G797" t="s">
        <v>21</v>
      </c>
      <c r="H797" t="s">
        <v>15</v>
      </c>
      <c r="I797">
        <v>2</v>
      </c>
      <c r="J797" t="s">
        <v>23</v>
      </c>
      <c r="K797" t="s">
        <v>32</v>
      </c>
      <c r="L797">
        <v>51</v>
      </c>
      <c r="M797" t="str">
        <f t="shared" si="12"/>
        <v>old</v>
      </c>
      <c r="N797" t="s">
        <v>18</v>
      </c>
    </row>
    <row r="798" spans="1:14" x14ac:dyDescent="0.25">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40</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40</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40</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40</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40</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old</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40</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old</v>
      </c>
      <c r="N812" t="s">
        <v>15</v>
      </c>
    </row>
    <row r="813" spans="1:14" x14ac:dyDescent="0.25">
      <c r="A813">
        <v>25954</v>
      </c>
      <c r="B813" t="s">
        <v>36</v>
      </c>
      <c r="C813" t="s">
        <v>40</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30</v>
      </c>
      <c r="K815" t="s">
        <v>32</v>
      </c>
      <c r="L815">
        <v>53</v>
      </c>
      <c r="M815" t="str">
        <f t="shared" si="12"/>
        <v>old</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40</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40</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37</v>
      </c>
      <c r="C822" t="s">
        <v>40</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40</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40</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40</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40</v>
      </c>
      <c r="D827" s="3">
        <v>70000</v>
      </c>
      <c r="E827">
        <v>3</v>
      </c>
      <c r="F827" t="s">
        <v>27</v>
      </c>
      <c r="G827" t="s">
        <v>21</v>
      </c>
      <c r="H827" t="s">
        <v>18</v>
      </c>
      <c r="I827">
        <v>1</v>
      </c>
      <c r="J827" t="s">
        <v>26</v>
      </c>
      <c r="K827" t="s">
        <v>32</v>
      </c>
      <c r="L827">
        <v>52</v>
      </c>
      <c r="M827" t="str">
        <f t="shared" si="12"/>
        <v>old</v>
      </c>
      <c r="N827" t="s">
        <v>15</v>
      </c>
    </row>
    <row r="828" spans="1:14" x14ac:dyDescent="0.25">
      <c r="A828">
        <v>15501</v>
      </c>
      <c r="B828" t="s">
        <v>36</v>
      </c>
      <c r="C828" t="s">
        <v>40</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37</v>
      </c>
      <c r="C831" t="s">
        <v>40</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40</v>
      </c>
      <c r="D832" s="3">
        <v>60000</v>
      </c>
      <c r="E832">
        <v>2</v>
      </c>
      <c r="F832" t="s">
        <v>27</v>
      </c>
      <c r="G832" t="s">
        <v>21</v>
      </c>
      <c r="H832" t="s">
        <v>18</v>
      </c>
      <c r="I832">
        <v>2</v>
      </c>
      <c r="J832" t="s">
        <v>23</v>
      </c>
      <c r="K832" t="s">
        <v>32</v>
      </c>
      <c r="L832">
        <v>51</v>
      </c>
      <c r="M832" t="str">
        <f t="shared" si="12"/>
        <v>old</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IF(L835&gt;50,"old",IF(L835&gt;30,"middle age",IF(L835&lt;=30,"young","invalid")))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40</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40</v>
      </c>
      <c r="D842" s="3">
        <v>70000</v>
      </c>
      <c r="E842">
        <v>4</v>
      </c>
      <c r="F842" t="s">
        <v>19</v>
      </c>
      <c r="G842" t="s">
        <v>21</v>
      </c>
      <c r="H842" t="s">
        <v>15</v>
      </c>
      <c r="I842">
        <v>2</v>
      </c>
      <c r="J842" t="s">
        <v>30</v>
      </c>
      <c r="K842" t="s">
        <v>32</v>
      </c>
      <c r="L842">
        <v>53</v>
      </c>
      <c r="M842" t="str">
        <f t="shared" si="13"/>
        <v>old</v>
      </c>
      <c r="N842" t="s">
        <v>18</v>
      </c>
    </row>
    <row r="843" spans="1:14" x14ac:dyDescent="0.25">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40</v>
      </c>
      <c r="D845" s="3">
        <v>80000</v>
      </c>
      <c r="E845">
        <v>2</v>
      </c>
      <c r="F845" t="s">
        <v>29</v>
      </c>
      <c r="G845" t="s">
        <v>14</v>
      </c>
      <c r="H845" t="s">
        <v>18</v>
      </c>
      <c r="I845">
        <v>2</v>
      </c>
      <c r="J845" t="s">
        <v>26</v>
      </c>
      <c r="K845" t="s">
        <v>32</v>
      </c>
      <c r="L845">
        <v>52</v>
      </c>
      <c r="M845" t="str">
        <f t="shared" si="13"/>
        <v>old</v>
      </c>
      <c r="N845" t="s">
        <v>18</v>
      </c>
    </row>
    <row r="846" spans="1:14" x14ac:dyDescent="0.25">
      <c r="A846">
        <v>22743</v>
      </c>
      <c r="B846" t="s">
        <v>36</v>
      </c>
      <c r="C846" t="s">
        <v>39</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37</v>
      </c>
      <c r="C850" t="s">
        <v>40</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40</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40</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40</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40</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40</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40</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40</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old</v>
      </c>
      <c r="N863" t="s">
        <v>15</v>
      </c>
    </row>
    <row r="864" spans="1:14" x14ac:dyDescent="0.25">
      <c r="A864">
        <v>22330</v>
      </c>
      <c r="B864" t="s">
        <v>36</v>
      </c>
      <c r="C864" t="s">
        <v>40</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40</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40</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40</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36</v>
      </c>
      <c r="C869" t="s">
        <v>40</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40</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40</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40</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old</v>
      </c>
      <c r="N874" t="s">
        <v>15</v>
      </c>
    </row>
    <row r="875" spans="1:14" x14ac:dyDescent="0.25">
      <c r="A875">
        <v>23197</v>
      </c>
      <c r="B875" t="s">
        <v>36</v>
      </c>
      <c r="C875" t="s">
        <v>40</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old</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40</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40</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40</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40</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40</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40</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40</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40</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40</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40</v>
      </c>
      <c r="D899" s="3">
        <v>30000</v>
      </c>
      <c r="E899">
        <v>0</v>
      </c>
      <c r="F899" t="s">
        <v>29</v>
      </c>
      <c r="G899" t="s">
        <v>20</v>
      </c>
      <c r="H899" t="s">
        <v>18</v>
      </c>
      <c r="I899">
        <v>2</v>
      </c>
      <c r="J899" t="s">
        <v>16</v>
      </c>
      <c r="K899" t="s">
        <v>32</v>
      </c>
      <c r="L899">
        <v>28</v>
      </c>
      <c r="M899" t="str">
        <f t="shared" ref="M899:M962" si="14">IF(L899&gt;50,"old",IF(L899&gt;30,"middle age",IF(L899&lt;=30,"young","invalid")))</f>
        <v>young</v>
      </c>
      <c r="N899" t="s">
        <v>18</v>
      </c>
    </row>
    <row r="900" spans="1:14" x14ac:dyDescent="0.25">
      <c r="A900">
        <v>18066</v>
      </c>
      <c r="B900" t="s">
        <v>37</v>
      </c>
      <c r="C900" t="s">
        <v>40</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40</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40</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40</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40</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40</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40</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40</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40</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40</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40</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40</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40</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40</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40</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40</v>
      </c>
      <c r="D922" s="3">
        <v>30000</v>
      </c>
      <c r="E922">
        <v>2</v>
      </c>
      <c r="F922" t="s">
        <v>27</v>
      </c>
      <c r="G922" t="s">
        <v>14</v>
      </c>
      <c r="H922" t="s">
        <v>15</v>
      </c>
      <c r="I922">
        <v>2</v>
      </c>
      <c r="J922" t="s">
        <v>26</v>
      </c>
      <c r="K922" t="s">
        <v>32</v>
      </c>
      <c r="L922">
        <v>51</v>
      </c>
      <c r="M922" t="str">
        <f t="shared" si="14"/>
        <v>old</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40</v>
      </c>
      <c r="D925" s="3">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40</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40</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40</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40</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37</v>
      </c>
      <c r="C935" t="s">
        <v>40</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40</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37</v>
      </c>
      <c r="C941" t="s">
        <v>40</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40</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40</v>
      </c>
      <c r="D951" s="3">
        <v>70000</v>
      </c>
      <c r="E951">
        <v>2</v>
      </c>
      <c r="F951" t="s">
        <v>29</v>
      </c>
      <c r="G951" t="s">
        <v>14</v>
      </c>
      <c r="H951" t="s">
        <v>15</v>
      </c>
      <c r="I951">
        <v>2</v>
      </c>
      <c r="J951" t="s">
        <v>30</v>
      </c>
      <c r="K951" t="s">
        <v>32</v>
      </c>
      <c r="L951">
        <v>53</v>
      </c>
      <c r="M951" t="str">
        <f t="shared" si="14"/>
        <v>old</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40</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40</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40</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40</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40</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21" si="15">IF(L963&gt;50,"old",IF(L963&gt;30,"middle age",IF(L963&lt;=30,"young","invalid")))</f>
        <v>old</v>
      </c>
      <c r="N963" t="s">
        <v>18</v>
      </c>
    </row>
    <row r="964" spans="1:14" x14ac:dyDescent="0.25">
      <c r="A964">
        <v>16813</v>
      </c>
      <c r="B964" t="s">
        <v>36</v>
      </c>
      <c r="C964" t="s">
        <v>40</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40</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40</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40</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old</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old</v>
      </c>
      <c r="N974" t="s">
        <v>18</v>
      </c>
    </row>
    <row r="975" spans="1:14" x14ac:dyDescent="0.25">
      <c r="A975">
        <v>11734</v>
      </c>
      <c r="B975" t="s">
        <v>36</v>
      </c>
      <c r="C975" t="s">
        <v>40</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40</v>
      </c>
      <c r="D976" s="3">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40</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40</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40</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40</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40</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40</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40</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40</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40</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40</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40</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40</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40</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40</v>
      </c>
      <c r="D997" s="3">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40</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40</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40</v>
      </c>
      <c r="D1001" s="3">
        <v>60000</v>
      </c>
      <c r="E1001">
        <v>3</v>
      </c>
      <c r="F1001" t="s">
        <v>27</v>
      </c>
      <c r="G1001" t="s">
        <v>21</v>
      </c>
      <c r="H1001" t="s">
        <v>15</v>
      </c>
      <c r="I1001">
        <v>2</v>
      </c>
      <c r="J1001" t="s">
        <v>30</v>
      </c>
      <c r="K1001" t="s">
        <v>32</v>
      </c>
      <c r="L1001">
        <v>53</v>
      </c>
      <c r="M1001" t="str">
        <f t="shared" si="15"/>
        <v>old</v>
      </c>
      <c r="N1001" t="s">
        <v>15</v>
      </c>
    </row>
    <row r="1002" spans="1:14" x14ac:dyDescent="0.25">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40</v>
      </c>
      <c r="D1003" s="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39</v>
      </c>
      <c r="D1004" s="3">
        <v>30000</v>
      </c>
      <c r="E1004">
        <v>3</v>
      </c>
      <c r="F1004" t="s">
        <v>27</v>
      </c>
      <c r="G1004" t="s">
        <v>14</v>
      </c>
      <c r="H1004" t="s">
        <v>18</v>
      </c>
      <c r="I1004">
        <v>2</v>
      </c>
      <c r="J1004" t="s">
        <v>26</v>
      </c>
      <c r="K1004" t="s">
        <v>24</v>
      </c>
      <c r="L1004">
        <v>54</v>
      </c>
      <c r="M1004" t="str">
        <f t="shared" si="15"/>
        <v>old</v>
      </c>
      <c r="N1004" t="s">
        <v>15</v>
      </c>
    </row>
    <row r="1005" spans="1:14" x14ac:dyDescent="0.25">
      <c r="A1005">
        <v>12697</v>
      </c>
      <c r="B1005" t="s">
        <v>37</v>
      </c>
      <c r="C1005" t="s">
        <v>39</v>
      </c>
      <c r="D1005" s="3">
        <v>90000</v>
      </c>
      <c r="E1005">
        <v>0</v>
      </c>
      <c r="F1005" t="s">
        <v>13</v>
      </c>
      <c r="G1005" t="s">
        <v>21</v>
      </c>
      <c r="H1005" t="s">
        <v>18</v>
      </c>
      <c r="I1005">
        <v>4</v>
      </c>
      <c r="J1005" t="s">
        <v>30</v>
      </c>
      <c r="K1005" t="s">
        <v>24</v>
      </c>
      <c r="L1005">
        <v>36</v>
      </c>
      <c r="M1005" t="str">
        <f t="shared" si="15"/>
        <v>middle age</v>
      </c>
      <c r="N1005" t="s">
        <v>18</v>
      </c>
    </row>
    <row r="1006" spans="1:14" x14ac:dyDescent="0.25">
      <c r="A1006">
        <v>11434</v>
      </c>
      <c r="B1006" t="s">
        <v>36</v>
      </c>
      <c r="C1006" t="s">
        <v>40</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40</v>
      </c>
      <c r="D1007" s="3">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40</v>
      </c>
      <c r="D1008" s="3">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40</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40</v>
      </c>
      <c r="D1012" s="3">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40</v>
      </c>
      <c r="D1013" s="3">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39</v>
      </c>
      <c r="D1015" s="3">
        <v>80000</v>
      </c>
      <c r="E1015">
        <v>0</v>
      </c>
      <c r="F1015" t="s">
        <v>13</v>
      </c>
      <c r="G1015" t="s">
        <v>21</v>
      </c>
      <c r="H1015" t="s">
        <v>15</v>
      </c>
      <c r="I1015">
        <v>4</v>
      </c>
      <c r="J1015" t="s">
        <v>30</v>
      </c>
      <c r="K1015" t="s">
        <v>24</v>
      </c>
      <c r="L1015">
        <v>35</v>
      </c>
      <c r="M1015" t="str">
        <f t="shared" si="15"/>
        <v>middle age</v>
      </c>
      <c r="N1015" t="s">
        <v>18</v>
      </c>
    </row>
    <row r="1016" spans="1:14" x14ac:dyDescent="0.25">
      <c r="A1016">
        <v>19193</v>
      </c>
      <c r="B1016" t="s">
        <v>37</v>
      </c>
      <c r="C1016" t="s">
        <v>40</v>
      </c>
      <c r="D1016" s="3">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40</v>
      </c>
      <c r="D1018" s="3">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40</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40</v>
      </c>
      <c r="D1020" s="3">
        <v>30000</v>
      </c>
      <c r="E1020">
        <v>0</v>
      </c>
      <c r="F1020" t="s">
        <v>19</v>
      </c>
      <c r="G1020" t="s">
        <v>20</v>
      </c>
      <c r="H1020" t="s">
        <v>18</v>
      </c>
      <c r="I1020">
        <v>1</v>
      </c>
      <c r="J1020" t="s">
        <v>16</v>
      </c>
      <c r="K1020" t="s">
        <v>17</v>
      </c>
      <c r="L1020">
        <v>29</v>
      </c>
      <c r="M1020" t="str">
        <f t="shared" si="15"/>
        <v>young</v>
      </c>
      <c r="N1020" t="s">
        <v>15</v>
      </c>
    </row>
    <row r="1021" spans="1:14" x14ac:dyDescent="0.25">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40</v>
      </c>
      <c r="D1022" s="3">
        <v>70000</v>
      </c>
      <c r="E1022">
        <v>5</v>
      </c>
      <c r="F1022" t="s">
        <v>19</v>
      </c>
      <c r="G1022" t="s">
        <v>14</v>
      </c>
      <c r="H1022" t="s">
        <v>15</v>
      </c>
      <c r="I1022">
        <v>2</v>
      </c>
      <c r="J1022" t="s">
        <v>23</v>
      </c>
      <c r="K1022" t="s">
        <v>24</v>
      </c>
      <c r="L1022">
        <v>44</v>
      </c>
      <c r="M1022" t="str">
        <f>IF(L1022&gt;50,"old",IF(L1022&gt;30,"middle age",IF(L1022&lt;=30,"young","invalid")))</f>
        <v>middle age</v>
      </c>
      <c r="N1022" t="s">
        <v>18</v>
      </c>
    </row>
    <row r="1023" spans="1:14" x14ac:dyDescent="0.25">
      <c r="A1023">
        <v>16466</v>
      </c>
      <c r="B1023" t="s">
        <v>37</v>
      </c>
      <c r="C1023" t="s">
        <v>39</v>
      </c>
      <c r="D1023" s="3">
        <v>20000</v>
      </c>
      <c r="E1023">
        <v>0</v>
      </c>
      <c r="F1023" t="s">
        <v>29</v>
      </c>
      <c r="G1023" t="s">
        <v>25</v>
      </c>
      <c r="H1023" t="s">
        <v>18</v>
      </c>
      <c r="I1023">
        <v>2</v>
      </c>
      <c r="J1023" t="s">
        <v>16</v>
      </c>
      <c r="K1023" t="s">
        <v>17</v>
      </c>
      <c r="L1023">
        <v>32</v>
      </c>
      <c r="M1023" t="str">
        <f t="shared" ref="M1023:M1027" si="16">IF(L1023&gt;50,"old",IF(L1023&gt;30,"middle age",IF(L1023&lt;=30,"young","invalid")))</f>
        <v>middle age</v>
      </c>
      <c r="N1023" t="s">
        <v>15</v>
      </c>
    </row>
    <row r="1024" spans="1:14" x14ac:dyDescent="0.25">
      <c r="A1024">
        <v>19273</v>
      </c>
      <c r="B1024" t="s">
        <v>36</v>
      </c>
      <c r="C1024" t="s">
        <v>39</v>
      </c>
      <c r="D1024" s="3">
        <v>20000</v>
      </c>
      <c r="E1024">
        <v>2</v>
      </c>
      <c r="F1024" t="s">
        <v>19</v>
      </c>
      <c r="G1024" t="s">
        <v>25</v>
      </c>
      <c r="H1024" t="s">
        <v>15</v>
      </c>
      <c r="I1024">
        <v>0</v>
      </c>
      <c r="J1024" t="s">
        <v>16</v>
      </c>
      <c r="K1024" t="s">
        <v>17</v>
      </c>
      <c r="L1024">
        <v>63</v>
      </c>
      <c r="M1024" t="str">
        <f t="shared" si="16"/>
        <v>old</v>
      </c>
      <c r="N1024" t="s">
        <v>18</v>
      </c>
    </row>
    <row r="1025" spans="1:14" x14ac:dyDescent="0.25">
      <c r="A1025">
        <v>22400</v>
      </c>
      <c r="B1025" t="s">
        <v>36</v>
      </c>
      <c r="C1025" t="s">
        <v>40</v>
      </c>
      <c r="D1025" s="3">
        <v>10000</v>
      </c>
      <c r="E1025">
        <v>0</v>
      </c>
      <c r="F1025" t="s">
        <v>19</v>
      </c>
      <c r="G1025" t="s">
        <v>25</v>
      </c>
      <c r="H1025" t="s">
        <v>18</v>
      </c>
      <c r="I1025">
        <v>1</v>
      </c>
      <c r="J1025" t="s">
        <v>16</v>
      </c>
      <c r="K1025" t="s">
        <v>24</v>
      </c>
      <c r="L1025">
        <v>26</v>
      </c>
      <c r="M1025" t="str">
        <f t="shared" si="16"/>
        <v>young</v>
      </c>
      <c r="N1025" t="s">
        <v>15</v>
      </c>
    </row>
    <row r="1026" spans="1:14" x14ac:dyDescent="0.25">
      <c r="A1026">
        <v>20942</v>
      </c>
      <c r="B1026" t="s">
        <v>37</v>
      </c>
      <c r="C1026" t="s">
        <v>39</v>
      </c>
      <c r="D1026" s="3">
        <v>20000</v>
      </c>
      <c r="E1026">
        <v>0</v>
      </c>
      <c r="F1026" t="s">
        <v>27</v>
      </c>
      <c r="G1026" t="s">
        <v>25</v>
      </c>
      <c r="H1026" t="s">
        <v>18</v>
      </c>
      <c r="I1026">
        <v>1</v>
      </c>
      <c r="J1026" t="s">
        <v>23</v>
      </c>
      <c r="K1026" t="s">
        <v>17</v>
      </c>
      <c r="L1026">
        <v>31</v>
      </c>
      <c r="M1026" t="str">
        <f t="shared" si="16"/>
        <v>middle age</v>
      </c>
      <c r="N1026" t="s">
        <v>18</v>
      </c>
    </row>
    <row r="1027" spans="1:14" x14ac:dyDescent="0.25">
      <c r="A1027">
        <v>18484</v>
      </c>
      <c r="B1027" t="s">
        <v>37</v>
      </c>
      <c r="C1027" t="s">
        <v>40</v>
      </c>
      <c r="D1027" s="3">
        <v>80000</v>
      </c>
      <c r="E1027">
        <v>2</v>
      </c>
      <c r="F1027" t="s">
        <v>27</v>
      </c>
      <c r="G1027" t="s">
        <v>14</v>
      </c>
      <c r="H1027" t="s">
        <v>18</v>
      </c>
      <c r="I1027">
        <v>2</v>
      </c>
      <c r="J1027" t="s">
        <v>26</v>
      </c>
      <c r="K1027" t="s">
        <v>24</v>
      </c>
      <c r="L1027">
        <v>50</v>
      </c>
      <c r="M1027" t="str">
        <f t="shared" si="16"/>
        <v>middle age</v>
      </c>
      <c r="N1027" t="s">
        <v>15</v>
      </c>
    </row>
  </sheetData>
  <autoFilter ref="A1:N1027" xr:uid="{F562B56E-C38A-470C-80A0-AD85D0D62BC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B367-7A77-4529-8559-2F1AF8FFC351}">
  <dimension ref="A1:N4"/>
  <sheetViews>
    <sheetView showGridLines="0" tabSelected="1" topLeftCell="A6" workbookViewId="0">
      <selection activeCell="Q9" sqref="Q9"/>
    </sheetView>
  </sheetViews>
  <sheetFormatPr defaultRowHeight="15" x14ac:dyDescent="0.25"/>
  <sheetData>
    <row r="1" spans="1:14" x14ac:dyDescent="0.25">
      <c r="A1" s="7"/>
      <c r="B1" s="7"/>
      <c r="C1" s="7"/>
      <c r="D1" s="7"/>
      <c r="E1" s="7"/>
      <c r="F1" s="7"/>
      <c r="G1" s="7"/>
      <c r="H1" s="7"/>
      <c r="I1" s="7"/>
      <c r="J1" s="7"/>
      <c r="K1" s="7"/>
      <c r="L1" s="7"/>
      <c r="M1" s="7"/>
      <c r="N1" s="7"/>
    </row>
    <row r="2" spans="1:14" x14ac:dyDescent="0.25">
      <c r="A2" s="7"/>
      <c r="B2" s="7"/>
      <c r="C2" s="7"/>
      <c r="D2" s="7"/>
      <c r="E2" s="7"/>
      <c r="F2" s="7"/>
      <c r="G2" s="7"/>
      <c r="H2" s="7"/>
      <c r="I2" s="7"/>
      <c r="J2" s="7"/>
      <c r="K2" s="7"/>
      <c r="L2" s="7"/>
      <c r="M2" s="7"/>
      <c r="N2" s="7"/>
    </row>
    <row r="3" spans="1:14" ht="36" x14ac:dyDescent="0.55000000000000004">
      <c r="A3" s="7"/>
      <c r="B3" s="7"/>
      <c r="C3" s="7"/>
      <c r="D3" s="7"/>
      <c r="E3" s="9" t="s">
        <v>50</v>
      </c>
      <c r="F3" s="9"/>
      <c r="G3" s="9"/>
      <c r="H3" s="9"/>
      <c r="I3" s="9"/>
      <c r="J3" s="8"/>
      <c r="K3" s="8"/>
      <c r="L3" s="7"/>
      <c r="M3" s="7"/>
      <c r="N3" s="7"/>
    </row>
    <row r="4" spans="1:14" x14ac:dyDescent="0.25">
      <c r="A4" s="7"/>
      <c r="B4" s="7"/>
      <c r="C4" s="7"/>
      <c r="D4" s="7"/>
      <c r="E4" s="7"/>
      <c r="F4" s="7"/>
      <c r="G4" s="7"/>
      <c r="H4" s="7"/>
      <c r="I4" s="7"/>
      <c r="J4" s="7"/>
      <c r="K4" s="7"/>
      <c r="L4" s="7"/>
      <c r="M4" s="7"/>
      <c r="N4" s="7"/>
    </row>
  </sheetData>
  <mergeCells count="1">
    <mergeCell ref="E3:I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DCL</dc:creator>
  <cp:lastModifiedBy>DCL</cp:lastModifiedBy>
  <dcterms:created xsi:type="dcterms:W3CDTF">2022-03-18T02:50:57Z</dcterms:created>
  <dcterms:modified xsi:type="dcterms:W3CDTF">2023-03-14T15:00:27Z</dcterms:modified>
</cp:coreProperties>
</file>